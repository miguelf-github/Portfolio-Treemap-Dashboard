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h IRA" sheetId="1" r:id="rId5"/>
    <sheet state="visible" name="Traditional IRA" sheetId="2" r:id="rId6"/>
    <sheet state="visible" name="Stock Stats" sheetId="3" r:id="rId7"/>
  </sheets>
  <definedNames>
    <definedName hidden="1" localSheetId="0" name="_xlnm._FilterDatabase">'Roth IRA'!$A$1:$O$21</definedName>
    <definedName hidden="1" localSheetId="1" name="_xlnm._FilterDatabase">'Traditional IRA'!$A$1:$O$18</definedName>
  </definedNames>
  <calcPr/>
</workbook>
</file>

<file path=xl/sharedStrings.xml><?xml version="1.0" encoding="utf-8"?>
<sst xmlns="http://schemas.openxmlformats.org/spreadsheetml/2006/main" count="441" uniqueCount="153">
  <si>
    <t>Description (Sleeve)</t>
  </si>
  <si>
    <t>Ticker</t>
  </si>
  <si>
    <t>Weight</t>
  </si>
  <si>
    <t>Shares</t>
  </si>
  <si>
    <t>Worth</t>
  </si>
  <si>
    <t>Avg Cost</t>
  </si>
  <si>
    <t>Div Yield</t>
  </si>
  <si>
    <t>Div Growth</t>
  </si>
  <si>
    <t>Type</t>
  </si>
  <si>
    <t>Dividend</t>
  </si>
  <si>
    <t>Description</t>
  </si>
  <si>
    <t>Link</t>
  </si>
  <si>
    <t>Return</t>
  </si>
  <si>
    <t>Account</t>
  </si>
  <si>
    <t>Expense Ratio</t>
  </si>
  <si>
    <t>Order</t>
  </si>
  <si>
    <t>Contributions</t>
  </si>
  <si>
    <t>Sleeve</t>
  </si>
  <si>
    <t>Sector</t>
  </si>
  <si>
    <t>Dividend Yield</t>
  </si>
  <si>
    <t>Exposure</t>
  </si>
  <si>
    <t xml:space="preserve">Annual Dividend </t>
  </si>
  <si>
    <t>Dividend Growth</t>
  </si>
  <si>
    <t>Payout Ratio</t>
  </si>
  <si>
    <t>Growth Years</t>
  </si>
  <si>
    <t>AFFO per Share</t>
  </si>
  <si>
    <t>AFFO payout Ratio</t>
  </si>
  <si>
    <t>META</t>
  </si>
  <si>
    <t>MAG 7</t>
  </si>
  <si>
    <t>Communication</t>
  </si>
  <si>
    <t>stocks</t>
  </si>
  <si>
    <t>Breakdown</t>
  </si>
  <si>
    <t>Cost</t>
  </si>
  <si>
    <t>Dividends</t>
  </si>
  <si>
    <t>Returns</t>
  </si>
  <si>
    <t>Fees</t>
  </si>
  <si>
    <t>US Indices</t>
  </si>
  <si>
    <t>FXAIX</t>
  </si>
  <si>
    <t>S&amp;P 500</t>
  </si>
  <si>
    <t>SPYM</t>
  </si>
  <si>
    <t>COST</t>
  </si>
  <si>
    <t>Dividend Income</t>
  </si>
  <si>
    <t>Consumer Staples</t>
  </si>
  <si>
    <t>mutf</t>
  </si>
  <si>
    <t>NVDA</t>
  </si>
  <si>
    <t>Semiconductors</t>
  </si>
  <si>
    <t>ASML</t>
  </si>
  <si>
    <t>Speculative</t>
  </si>
  <si>
    <t>etf</t>
  </si>
  <si>
    <t>Fidelity</t>
  </si>
  <si>
    <t>ENB</t>
  </si>
  <si>
    <t>Energy &amp; Oil</t>
  </si>
  <si>
    <t>BTI</t>
  </si>
  <si>
    <t>Tobacco</t>
  </si>
  <si>
    <t>Charles Schwab</t>
  </si>
  <si>
    <t>MAIN</t>
  </si>
  <si>
    <t>REITs &amp; BDCs</t>
  </si>
  <si>
    <t>BDCs</t>
  </si>
  <si>
    <t>VICI</t>
  </si>
  <si>
    <t>Real Estate</t>
  </si>
  <si>
    <t>EQIX</t>
  </si>
  <si>
    <t>PLD</t>
  </si>
  <si>
    <t>Large Cap Growth</t>
  </si>
  <si>
    <t>MA</t>
  </si>
  <si>
    <t>Finance</t>
  </si>
  <si>
    <t>AAPL</t>
  </si>
  <si>
    <t>Information Technology</t>
  </si>
  <si>
    <t>NASDAQ 100</t>
  </si>
  <si>
    <t>QQQM</t>
  </si>
  <si>
    <t>AVGO</t>
  </si>
  <si>
    <t>JPM</t>
  </si>
  <si>
    <t>UNH</t>
  </si>
  <si>
    <t>Health</t>
  </si>
  <si>
    <t>V</t>
  </si>
  <si>
    <t>PM</t>
  </si>
  <si>
    <t>MSFT</t>
  </si>
  <si>
    <t>O</t>
  </si>
  <si>
    <t>IBM</t>
  </si>
  <si>
    <t>Technology ETF</t>
  </si>
  <si>
    <t>VGT</t>
  </si>
  <si>
    <t>NNN</t>
  </si>
  <si>
    <t>CVX</t>
  </si>
  <si>
    <t>SPGI</t>
  </si>
  <si>
    <t>YoC Dividend Growth</t>
  </si>
  <si>
    <t>ABBV</t>
  </si>
  <si>
    <t>Concentrated Tech Growth</t>
  </si>
  <si>
    <t>ABT</t>
  </si>
  <si>
    <t>Quantum ETF</t>
  </si>
  <si>
    <t>QTUM</t>
  </si>
  <si>
    <t>VEA</t>
  </si>
  <si>
    <t>International</t>
  </si>
  <si>
    <t>Developed Markets</t>
  </si>
  <si>
    <t>MU</t>
  </si>
  <si>
    <t>Concentrated Tech</t>
  </si>
  <si>
    <t>Quantum</t>
  </si>
  <si>
    <t>AMZN</t>
  </si>
  <si>
    <t>GOOGL</t>
  </si>
  <si>
    <t>SCHD</t>
  </si>
  <si>
    <t>Dividend Equity</t>
  </si>
  <si>
    <t>PLTR</t>
  </si>
  <si>
    <t>Software Infrastructure</t>
  </si>
  <si>
    <t>VOO</t>
  </si>
  <si>
    <t>Speculative Tech Growth</t>
  </si>
  <si>
    <t>RKLB</t>
  </si>
  <si>
    <t>Aerospace / Defense</t>
  </si>
  <si>
    <t>Aerospace</t>
  </si>
  <si>
    <t>Dividends Kings ETF</t>
  </si>
  <si>
    <t>VWO</t>
  </si>
  <si>
    <t>Emerging Markets</t>
  </si>
  <si>
    <t>IONQ</t>
  </si>
  <si>
    <t>AMD</t>
  </si>
  <si>
    <t>QBTS</t>
  </si>
  <si>
    <t>POWR</t>
  </si>
  <si>
    <t>Future of Electrification</t>
  </si>
  <si>
    <t>Power &amp; Utilities</t>
  </si>
  <si>
    <t>APLD</t>
  </si>
  <si>
    <t>AI Data Centers</t>
  </si>
  <si>
    <t>VXUS</t>
  </si>
  <si>
    <t>UTES</t>
  </si>
  <si>
    <t>ARCC</t>
  </si>
  <si>
    <t>FLMX</t>
  </si>
  <si>
    <t>AAOI</t>
  </si>
  <si>
    <t>Photonics</t>
  </si>
  <si>
    <t>MRVL</t>
  </si>
  <si>
    <t>GARP</t>
  </si>
  <si>
    <t>NOW</t>
  </si>
  <si>
    <t>LITE</t>
  </si>
  <si>
    <t>GLW</t>
  </si>
  <si>
    <t>BRK.B</t>
  </si>
  <si>
    <t>Consumer Defensive</t>
  </si>
  <si>
    <t>TSM</t>
  </si>
  <si>
    <t>HOOD</t>
  </si>
  <si>
    <t>COHR</t>
  </si>
  <si>
    <t>Cash</t>
  </si>
  <si>
    <t>IJS</t>
  </si>
  <si>
    <t>Small Cap Value</t>
  </si>
  <si>
    <t>WQTM</t>
  </si>
  <si>
    <t>Total Worth</t>
  </si>
  <si>
    <t>Total Paid</t>
  </si>
  <si>
    <t>ARM</t>
  </si>
  <si>
    <t>SNDK</t>
  </si>
  <si>
    <t>RDW</t>
  </si>
  <si>
    <t>NBIS</t>
  </si>
  <si>
    <t>CBRS</t>
  </si>
  <si>
    <t>QQQI</t>
  </si>
  <si>
    <t>Covered Calls</t>
  </si>
  <si>
    <t>BBAI</t>
  </si>
  <si>
    <t>ONDS</t>
  </si>
  <si>
    <t>DLR</t>
  </si>
  <si>
    <t>AMT</t>
  </si>
  <si>
    <t>American Tower</t>
  </si>
  <si>
    <t>AVUV</t>
  </si>
  <si>
    <t>Total 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</si>
</sst>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m d, yyyy"/>
    <numFmt numFmtId="166" formatCode="&quot;$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2" fontId="1" numFmtId="164" xfId="0" applyAlignment="1" applyFont="1" applyNumberFormat="1">
      <alignment readingOrder="0" shrinkToFit="0" wrapText="0"/>
    </xf>
    <xf borderId="0" fillId="4" fontId="3" numFmtId="0" xfId="0" applyFont="1"/>
    <xf borderId="0" fillId="0" fontId="3" numFmtId="0" xfId="0" applyAlignment="1" applyFont="1">
      <alignment readingOrder="0"/>
    </xf>
    <xf borderId="0" fillId="4" fontId="3" numFmtId="0" xfId="0" applyAlignment="1" applyFont="1">
      <alignment readingOrder="0" shrinkToFit="0" wrapText="0"/>
    </xf>
    <xf borderId="0" fillId="0" fontId="1" numFmtId="10" xfId="0" applyFont="1" applyNumberFormat="1"/>
    <xf borderId="0" fillId="0" fontId="1" numFmtId="2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1" numFmtId="166" xfId="0" applyFont="1" applyNumberFormat="1"/>
    <xf borderId="0" fillId="0" fontId="6" numFmtId="166" xfId="0" applyFont="1" applyNumberFormat="1"/>
    <xf borderId="0" fillId="0" fontId="1" numFmtId="0" xfId="0" applyAlignment="1" applyFont="1">
      <alignment horizontal="left"/>
    </xf>
    <xf borderId="0" fillId="0" fontId="1" numFmtId="166" xfId="0" applyFont="1" applyNumberFormat="1"/>
    <xf borderId="0" fillId="0" fontId="1" numFmtId="0" xfId="0" applyFont="1"/>
    <xf borderId="0" fillId="0" fontId="4" numFmtId="166" xfId="0" applyAlignment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2" xfId="0" applyAlignment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6" xfId="0" applyAlignment="1" applyFont="1" applyNumberFormat="1">
      <alignment horizontal="center" vertical="bottom"/>
    </xf>
    <xf borderId="0" fillId="0" fontId="1" numFmtId="0" xfId="0" applyFont="1"/>
    <xf borderId="0" fillId="0" fontId="4" numFmtId="3" xfId="0" applyAlignment="1" applyFont="1" applyNumberFormat="1">
      <alignment vertical="bottom"/>
    </xf>
    <xf borderId="0" fillId="0" fontId="4" numFmtId="10" xfId="0" applyAlignment="1" applyFont="1" applyNumberFormat="1">
      <alignment horizontal="left" vertical="bottom"/>
    </xf>
    <xf borderId="0" fillId="0" fontId="1" numFmtId="9" xfId="0" applyAlignment="1" applyFont="1" applyNumberFormat="1">
      <alignment readingOrder="0"/>
    </xf>
    <xf borderId="0" fillId="0" fontId="4" numFmtId="2" xfId="0" applyAlignment="1" applyFont="1" applyNumberFormat="1">
      <alignment horizontal="right" vertical="bottom"/>
    </xf>
    <xf borderId="0" fillId="0" fontId="7" numFmtId="166" xfId="0" applyAlignment="1" applyFont="1" applyNumberFormat="1">
      <alignment vertical="bottom"/>
    </xf>
    <xf borderId="0" fillId="4" fontId="3" numFmtId="0" xfId="0" applyAlignment="1" applyFont="1">
      <alignment horizontal="right" readingOrder="0"/>
    </xf>
    <xf borderId="0" fillId="2" fontId="1" numFmtId="166" xfId="0" applyAlignment="1" applyFont="1" applyNumberFormat="1">
      <alignment readingOrder="0"/>
    </xf>
    <xf borderId="0" fillId="5" fontId="3" numFmtId="0" xfId="0" applyAlignment="1" applyFill="1" applyFont="1">
      <alignment horizontal="right" readingOrder="0"/>
    </xf>
    <xf borderId="0" fillId="6" fontId="3" numFmtId="0" xfId="0" applyAlignment="1" applyFill="1" applyFont="1">
      <alignment horizontal="right" readingOrder="0"/>
    </xf>
    <xf borderId="0" fillId="0" fontId="4" numFmtId="10" xfId="0" applyAlignment="1" applyFont="1" applyNumberFormat="1">
      <alignment horizontal="right" readingOrder="0" vertical="bottom"/>
    </xf>
    <xf borderId="0" fillId="5" fontId="1" numFmtId="166" xfId="0" applyFont="1" applyNumberFormat="1"/>
    <xf borderId="0" fillId="6" fontId="1" numFmtId="166" xfId="0" applyAlignment="1" applyFont="1" applyNumberFormat="1">
      <alignment readingOrder="0"/>
    </xf>
    <xf borderId="0" fillId="2" fontId="1" numFmtId="10" xfId="0" applyFont="1" applyNumberFormat="1"/>
    <xf borderId="0" fillId="2" fontId="1" numFmtId="166" xfId="0" applyFont="1" applyNumberFormat="1"/>
    <xf borderId="0" fillId="0" fontId="4" numFmtId="166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/>
    </xf>
    <xf borderId="0" fillId="0" fontId="4" numFmtId="10" xfId="0" applyAlignment="1" applyFont="1" applyNumberFormat="1">
      <alignment readingOrder="0" vertical="bottom"/>
    </xf>
    <xf borderId="0" fillId="0" fontId="4" numFmtId="10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7.88"/>
    <col customWidth="1" min="3" max="8" width="9.38"/>
    <col customWidth="1" min="9" max="9" width="6.63"/>
    <col customWidth="1" min="10" max="10" width="9.38"/>
    <col customWidth="1" min="11" max="11" width="11.13"/>
    <col customWidth="1" min="12" max="12" width="8.0"/>
    <col customWidth="1" min="13" max="13" width="9.63"/>
    <col customWidth="1" min="14" max="14" width="11.25"/>
    <col customWidth="1" min="15" max="15" width="7.63"/>
    <col customWidth="1" min="21" max="21" width="10.0"/>
    <col customWidth="1" min="22" max="22" width="22.0"/>
    <col customWidth="1" min="23" max="23" width="39.25"/>
    <col customWidth="1" min="24" max="28" width="9.38"/>
    <col customWidth="1" min="29" max="29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6" t="s">
        <v>16</v>
      </c>
      <c r="Q1" s="7">
        <v>46055.0</v>
      </c>
      <c r="R1" s="8">
        <v>39221.21</v>
      </c>
      <c r="U1" s="10" t="s">
        <v>20</v>
      </c>
      <c r="V1" s="13" t="str">
        <f t="array" ref="V1:V9">UNIQUE(A:A)</f>
        <v>Description (Sleeve)</v>
      </c>
      <c r="W1" s="10" t="s">
        <v>31</v>
      </c>
      <c r="X1" s="10" t="s">
        <v>4</v>
      </c>
      <c r="Y1" s="10" t="s">
        <v>32</v>
      </c>
      <c r="Z1" s="10" t="s">
        <v>33</v>
      </c>
      <c r="AA1" s="10" t="s">
        <v>34</v>
      </c>
      <c r="AB1" s="15" t="s">
        <v>35</v>
      </c>
      <c r="AC1" s="10" t="s">
        <v>19</v>
      </c>
    </row>
    <row r="2">
      <c r="A2" s="1" t="s">
        <v>36</v>
      </c>
      <c r="B2" s="1" t="s">
        <v>37</v>
      </c>
      <c r="C2" s="16">
        <f t="shared" ref="C2:C14" si="1">E2/$Q$16</f>
        <v>0.232780941</v>
      </c>
      <c r="D2" s="17">
        <v>38.904</v>
      </c>
      <c r="E2" s="19">
        <f>IFERROR(__xludf.DUMMYFUNCTION("(GOOGLEFINANCE(B2)*D2)"),10153.554960000001)</f>
        <v>10153.55496</v>
      </c>
      <c r="F2" s="19">
        <f>(240.05*D2)</f>
        <v>9338.9052</v>
      </c>
      <c r="G2" s="25">
        <f>IFERROR(VLOOKUP(B2,'Stock Stats'!$A:$M,6,false),"")</f>
        <v>0.01057511782</v>
      </c>
      <c r="H2" s="25">
        <f>IFERROR(VLOOKUP(B2,'Stock Stats'!$A:$M,8,false),"")</f>
        <v>0.051</v>
      </c>
      <c r="I2" s="26" t="s">
        <v>43</v>
      </c>
      <c r="J2" s="27">
        <f t="shared" ref="J2:J14" si="2">((E2*G2))</f>
        <v>107.37504</v>
      </c>
      <c r="K2" s="28" t="str">
        <f t="shared" ref="K2:K14" si="3">IF(I2="mutf","https://stockanalysis.com/quote/"&amp;I2&amp;"/"&amp;B2&amp;"/dividend/","https://stockanalysis.com/"&amp;I2&amp;"/"&amp;B2&amp;"/dividend/")</f>
        <v>https://stockanalysis.com/quote/mutf/FXAIX/dividend/</v>
      </c>
      <c r="L2" s="16">
        <f t="shared" ref="L2:L14" si="4">(E2-F2)/F2
</f>
        <v>0.0872318267</v>
      </c>
      <c r="M2" s="1" t="s">
        <v>49</v>
      </c>
      <c r="N2" s="8">
        <f>IFERROR(E2*VLOOKUP(B2,'Stock Stats'!$A:$M,11,false),"")</f>
        <v>1.523033244</v>
      </c>
      <c r="O2" s="1">
        <v>1.0</v>
      </c>
      <c r="Q2" s="7"/>
      <c r="R2" s="8"/>
      <c r="U2" s="16">
        <f t="shared" ref="U2:U8" si="5">IFERROR(SUMIF($A$2:$A21,V2,$C$2:$C21),"")</f>
        <v>0.232780941</v>
      </c>
      <c r="V2" s="29" t="s">
        <v>36</v>
      </c>
      <c r="W2" s="16" t="str">
        <f t="array" ref="W2">TEXTJOIN(", ", TRUE, IF($A:$A=V2, $B:$B&amp;" ("&amp;TEXT($C:$C,"0.00%")&amp;")", ""))                                                                                                                                                         
</f>
        <v>FXAIX (23.28%)</v>
      </c>
      <c r="X2" s="30">
        <f t="shared" ref="X2:X8" si="6">IFERROR(SUMIF($A$2:$A21,V2,$E$2:$E21),"")</f>
        <v>10153.55496</v>
      </c>
      <c r="Y2" s="30">
        <f t="shared" ref="Y2:Y8" si="7">IFERROR(SUMIF($A$2:$A21,V2,$F$2:$F21),"")</f>
        <v>9338.9052</v>
      </c>
      <c r="Z2" s="30">
        <f t="shared" ref="Z2:Z8" si="8">IFERROR(SUMIF($A$2:$A21,V2,$J$2:$J21),"")</f>
        <v>107.37504</v>
      </c>
      <c r="AA2" s="16">
        <f t="shared" ref="AA2:AA8" si="9">(X2-Y2)/Y2
</f>
        <v>0.0872318267</v>
      </c>
      <c r="AB2" s="30">
        <f t="shared" ref="AB2:AB8" si="10">IFERROR(SUMIF($A$2:$A21,V2,$N$2:$N21),"")</f>
        <v>1.523033244</v>
      </c>
      <c r="AC2" s="16">
        <f t="shared" ref="AC2:AC8" si="11">Z2/X2</f>
        <v>0.01057511782</v>
      </c>
    </row>
    <row r="3">
      <c r="A3" s="26" t="s">
        <v>62</v>
      </c>
      <c r="B3" s="11" t="s">
        <v>44</v>
      </c>
      <c r="C3" s="20">
        <f t="shared" si="1"/>
        <v>0.02683171589</v>
      </c>
      <c r="D3" s="34">
        <v>5.519</v>
      </c>
      <c r="E3" s="35">
        <f>IFERROR(__xludf.DUMMYFUNCTION("(GOOGLEFINANCE(B3)*D3)"),1170.35914)</f>
        <v>1170.35914</v>
      </c>
      <c r="F3" s="35">
        <f>(183.56*D3)</f>
        <v>1013.06764</v>
      </c>
      <c r="G3" s="25">
        <f>IFERROR(VLOOKUP(B3,'Stock Stats'!$A:$M,6,false),"")</f>
        <v>0.0001886258606</v>
      </c>
      <c r="H3" s="25">
        <f>IFERROR(VLOOKUP(B3,'Stock Stats'!$A:$M,8,false),"")</f>
        <v>6</v>
      </c>
      <c r="I3" s="36" t="s">
        <v>30</v>
      </c>
      <c r="J3" s="35">
        <f t="shared" si="2"/>
        <v>0.22076</v>
      </c>
      <c r="K3" s="28" t="str">
        <f t="shared" si="3"/>
        <v>https://stockanalysis.com/stocks/NVDA/dividend/</v>
      </c>
      <c r="L3" s="20">
        <f t="shared" si="4"/>
        <v>0.1552625844</v>
      </c>
      <c r="M3" s="11" t="s">
        <v>49</v>
      </c>
      <c r="N3" s="8">
        <f>IFERROR(E3*VLOOKUP(B3,'Stock Stats'!$A:$M,11,false),"")</f>
        <v>0</v>
      </c>
      <c r="O3" s="37">
        <v>2.0</v>
      </c>
      <c r="U3" s="16">
        <f t="shared" si="5"/>
        <v>0.08541313593</v>
      </c>
      <c r="V3" s="29" t="s">
        <v>62</v>
      </c>
      <c r="W3" s="16" t="str">
        <f t="array" ref="W3">TEXTJOIN(", ", TRUE, IF($A:$A=V3, $B:$B&amp;" ("&amp;TEXT($C:$C,"0.00%")&amp;")", ""))                                                                                                                                                         
</f>
        <v>NVDA (2.68%), MSFT (0.94%), GARP (4.92%)</v>
      </c>
      <c r="X3" s="30">
        <f t="shared" si="6"/>
        <v>3725.59268</v>
      </c>
      <c r="Y3" s="30">
        <f t="shared" si="7"/>
        <v>3402.6773</v>
      </c>
      <c r="Z3" s="30">
        <f t="shared" si="8"/>
        <v>41.49685027</v>
      </c>
      <c r="AA3" s="16">
        <f t="shared" si="9"/>
        <v>0.0949003833</v>
      </c>
      <c r="AB3" s="30">
        <f t="shared" si="10"/>
        <v>3.2174793</v>
      </c>
      <c r="AC3" s="16">
        <f t="shared" si="11"/>
        <v>0.01113832183</v>
      </c>
    </row>
    <row r="4">
      <c r="A4" s="26" t="s">
        <v>62</v>
      </c>
      <c r="B4" s="11" t="s">
        <v>75</v>
      </c>
      <c r="C4" s="20">
        <f t="shared" si="1"/>
        <v>0.009405352336</v>
      </c>
      <c r="D4" s="37">
        <v>1.051</v>
      </c>
      <c r="E4" s="35">
        <f>IFERROR(__xludf.DUMMYFUNCTION("(GOOGLEFINANCE(B4)*D4)"),410.24733999999995)</f>
        <v>410.24734</v>
      </c>
      <c r="F4" s="35">
        <f>(370.78*D4)</f>
        <v>389.68978</v>
      </c>
      <c r="G4" s="25">
        <f>IFERROR(VLOOKUP(B4,'Stock Stats'!$A:$M,6,false),"")</f>
        <v>0.006865809294</v>
      </c>
      <c r="H4" s="25">
        <f>IFERROR(VLOOKUP(B4,'Stock Stats'!$A:$M,8,false),"")</f>
        <v>0.0964</v>
      </c>
      <c r="I4" s="11" t="s">
        <v>30</v>
      </c>
      <c r="J4" s="35">
        <f t="shared" si="2"/>
        <v>2.81668</v>
      </c>
      <c r="K4" s="28" t="str">
        <f t="shared" si="3"/>
        <v>https://stockanalysis.com/stocks/MSFT/dividend/</v>
      </c>
      <c r="L4" s="20">
        <f t="shared" si="4"/>
        <v>0.05275365446</v>
      </c>
      <c r="M4" s="11" t="s">
        <v>49</v>
      </c>
      <c r="N4" s="8">
        <f>IFERROR(E4*VLOOKUP(B4,'Stock Stats'!$A:$M,11,false),"")</f>
        <v>0</v>
      </c>
      <c r="O4" s="37">
        <v>2.0</v>
      </c>
      <c r="U4" s="16">
        <f t="shared" si="5"/>
        <v>0.2262000505</v>
      </c>
      <c r="V4" s="29" t="s">
        <v>85</v>
      </c>
      <c r="W4" s="16" t="str">
        <f t="array" ref="W4">TEXTJOIN(", ", TRUE, IF($A:$A=V4, $B:$B&amp;" ("&amp;TEXT($C:$C,"0.00%")&amp;")", ""))                                                                                                                                                         
</f>
        <v>VGT (13.00%), QQQM (9.62%)</v>
      </c>
      <c r="X4" s="30">
        <f t="shared" si="6"/>
        <v>9866.5064</v>
      </c>
      <c r="Y4" s="30">
        <f t="shared" si="7"/>
        <v>8371.75962</v>
      </c>
      <c r="Z4" s="30">
        <f t="shared" si="8"/>
        <v>40.01484</v>
      </c>
      <c r="AA4" s="16">
        <f t="shared" si="9"/>
        <v>0.178546309</v>
      </c>
      <c r="AB4" s="30">
        <f t="shared" si="10"/>
        <v>11.3965774</v>
      </c>
      <c r="AC4" s="16">
        <f t="shared" si="11"/>
        <v>0.004055623985</v>
      </c>
    </row>
    <row r="5">
      <c r="A5" s="26" t="s">
        <v>85</v>
      </c>
      <c r="B5" s="1" t="s">
        <v>79</v>
      </c>
      <c r="C5" s="16">
        <f t="shared" si="1"/>
        <v>0.1300358937</v>
      </c>
      <c r="D5" s="17">
        <v>49.057</v>
      </c>
      <c r="E5" s="19">
        <f>IFERROR(__xludf.DUMMYFUNCTION("(GOOGLEFINANCE(B5)*D5)"),5671.970340000001)</f>
        <v>5671.97034</v>
      </c>
      <c r="F5" s="19">
        <f>(93.55*D5)</f>
        <v>4589.28235</v>
      </c>
      <c r="G5" s="25">
        <f>IFERROR(VLOOKUP(B5,'Stock Stats'!$A:$M,6,false),"")</f>
        <v>0.003719079744</v>
      </c>
      <c r="H5" s="25">
        <f>IFERROR(VLOOKUP(B5,'Stock Stats'!$A:$M,8,false),"")</f>
        <v>0.109</v>
      </c>
      <c r="I5" s="26" t="s">
        <v>48</v>
      </c>
      <c r="J5" s="27">
        <f t="shared" si="2"/>
        <v>21.09451</v>
      </c>
      <c r="K5" s="28" t="str">
        <f t="shared" si="3"/>
        <v>https://stockanalysis.com/etf/VGT/dividend/</v>
      </c>
      <c r="L5" s="16">
        <f t="shared" si="4"/>
        <v>0.2359166221</v>
      </c>
      <c r="M5" s="1" t="s">
        <v>49</v>
      </c>
      <c r="N5" s="8">
        <f>IFERROR(E5*VLOOKUP(B5,'Stock Stats'!$A:$M,11,false),"")</f>
        <v>5.104773306</v>
      </c>
      <c r="O5" s="1">
        <v>3.0</v>
      </c>
      <c r="U5" s="16">
        <f t="shared" si="5"/>
        <v>0.2027711845</v>
      </c>
      <c r="V5" s="41" t="s">
        <v>102</v>
      </c>
      <c r="W5" s="16" t="str">
        <f t="array" ref="W5">TEXTJOIN(", ", TRUE, IF($A:$A=V5, $B:$B&amp;" ("&amp;TEXT($C:$C,"0.00%")&amp;")", ""))                                                                                                                                                         
</f>
        <v>WQTM (4.40%), QTUM (15.88%)</v>
      </c>
      <c r="X5" s="30">
        <f t="shared" si="6"/>
        <v>8844.57446</v>
      </c>
      <c r="Y5" s="30">
        <f t="shared" si="7"/>
        <v>8191.2881</v>
      </c>
      <c r="Z5" s="30">
        <f t="shared" si="8"/>
        <v>56.43468</v>
      </c>
      <c r="AA5" s="16">
        <f t="shared" si="9"/>
        <v>0.07975380087</v>
      </c>
      <c r="AB5" s="30">
        <f t="shared" si="10"/>
        <v>36.33726528</v>
      </c>
      <c r="AC5" s="16">
        <f t="shared" si="11"/>
        <v>0.00638071173</v>
      </c>
    </row>
    <row r="6">
      <c r="A6" s="26" t="s">
        <v>85</v>
      </c>
      <c r="B6" s="1" t="s">
        <v>68</v>
      </c>
      <c r="C6" s="16">
        <f t="shared" si="1"/>
        <v>0.0961641568</v>
      </c>
      <c r="D6" s="17">
        <v>14.443</v>
      </c>
      <c r="E6" s="19">
        <f>IFERROR(__xludf.DUMMYFUNCTION("(GOOGLEFINANCE(B6)*D6)"),4194.53606)</f>
        <v>4194.53606</v>
      </c>
      <c r="F6" s="19">
        <f>(261.89*D6)</f>
        <v>3782.47727</v>
      </c>
      <c r="G6" s="25">
        <f>IFERROR(VLOOKUP(B6,'Stock Stats'!$A:$M,6,false),"")</f>
        <v>0.004510708629</v>
      </c>
      <c r="H6" s="25">
        <f>IFERROR(VLOOKUP(B6,'Stock Stats'!$A:$M,8,false),"")</f>
        <v>0.0494</v>
      </c>
      <c r="I6" s="26" t="s">
        <v>48</v>
      </c>
      <c r="J6" s="27">
        <f t="shared" si="2"/>
        <v>18.92033</v>
      </c>
      <c r="K6" s="28" t="str">
        <f t="shared" si="3"/>
        <v>https://stockanalysis.com/etf/QQQM/dividend/</v>
      </c>
      <c r="L6" s="16">
        <f t="shared" si="4"/>
        <v>0.1089388675</v>
      </c>
      <c r="M6" s="1" t="s">
        <v>49</v>
      </c>
      <c r="N6" s="8">
        <f>IFERROR(E6*VLOOKUP(B6,'Stock Stats'!$A:$M,11,false),"")</f>
        <v>6.29180409</v>
      </c>
      <c r="O6" s="1">
        <v>3.0</v>
      </c>
      <c r="U6" s="16">
        <f t="shared" si="5"/>
        <v>0.1286576105</v>
      </c>
      <c r="V6" s="41" t="s">
        <v>98</v>
      </c>
      <c r="W6" s="16" t="str">
        <f t="array" ref="W6">TEXTJOIN(", ", TRUE, IF($A:$A=V6, $B:$B&amp;" ("&amp;TEXT($C:$C,"0.00%")&amp;")", ""))                                                                                                                                                         
</f>
        <v>SCHD (12.87%)</v>
      </c>
      <c r="X6" s="30">
        <f t="shared" si="6"/>
        <v>5611.8517</v>
      </c>
      <c r="Y6" s="30">
        <f t="shared" si="7"/>
        <v>5280.94008</v>
      </c>
      <c r="Z6" s="30">
        <f t="shared" si="8"/>
        <v>179.10165</v>
      </c>
      <c r="AA6" s="16">
        <f t="shared" si="9"/>
        <v>0.06266149871</v>
      </c>
      <c r="AB6" s="30">
        <f t="shared" si="10"/>
        <v>3.36711102</v>
      </c>
      <c r="AC6" s="16">
        <f t="shared" si="11"/>
        <v>0.03191489362</v>
      </c>
    </row>
    <row r="7">
      <c r="A7" s="26" t="s">
        <v>62</v>
      </c>
      <c r="B7" s="1" t="s">
        <v>124</v>
      </c>
      <c r="C7" s="16">
        <f t="shared" si="1"/>
        <v>0.0491760677</v>
      </c>
      <c r="D7" s="17">
        <v>26.964</v>
      </c>
      <c r="E7" s="19">
        <f>IFERROR(__xludf.DUMMYFUNCTION("(GOOGLEFINANCE(""BATS:GARP"")*D7)"),2144.9862)</f>
        <v>2144.9862</v>
      </c>
      <c r="F7" s="19">
        <f>(74.17*D7)</f>
        <v>1999.91988</v>
      </c>
      <c r="G7" s="25">
        <f>IFERROR(VLOOKUP(B7,'Stock Stats'!$A:$M,6,false),"")</f>
        <v>0.01792991035</v>
      </c>
      <c r="H7" s="25">
        <f>IFERROR(VLOOKUP(B7,'Stock Stats'!$A:$M,8,false),"")</f>
        <v>0</v>
      </c>
      <c r="I7" s="26" t="s">
        <v>48</v>
      </c>
      <c r="J7" s="27">
        <f t="shared" si="2"/>
        <v>38.45941027</v>
      </c>
      <c r="K7" s="28" t="str">
        <f t="shared" si="3"/>
        <v>https://stockanalysis.com/etf/GARP/dividend/</v>
      </c>
      <c r="L7" s="16">
        <f t="shared" si="4"/>
        <v>0.07253606579</v>
      </c>
      <c r="M7" s="1" t="s">
        <v>49</v>
      </c>
      <c r="N7" s="8">
        <f>IFERROR(E7*VLOOKUP(B7,'Stock Stats'!$A:$M,11,false),"")</f>
        <v>3.2174793</v>
      </c>
      <c r="O7" s="1">
        <v>3.0</v>
      </c>
      <c r="S7" s="11"/>
      <c r="U7" s="16">
        <f t="shared" si="5"/>
        <v>0.09294648111</v>
      </c>
      <c r="V7" s="41" t="s">
        <v>90</v>
      </c>
      <c r="W7" s="16" t="str">
        <f t="array" ref="W7">TEXTJOIN(", ", TRUE, IF($A:$A=V7, $B:$B&amp;" ("&amp;TEXT($C:$C,"0.00%")&amp;")", ""))                                                                                                                                                         
</f>
        <v>VEA (4.71%), VWO (3.64%), FLMX (0.94%)</v>
      </c>
      <c r="X7" s="30">
        <f t="shared" si="6"/>
        <v>4054.18588</v>
      </c>
      <c r="Y7" s="30">
        <f t="shared" si="7"/>
        <v>3887.71412</v>
      </c>
      <c r="Z7" s="30">
        <f t="shared" si="8"/>
        <v>105.65804</v>
      </c>
      <c r="AA7" s="16">
        <f t="shared" si="9"/>
        <v>0.0428199592</v>
      </c>
      <c r="AB7" s="30">
        <f t="shared" si="10"/>
        <v>2.350391868</v>
      </c>
      <c r="AC7" s="16">
        <f t="shared" si="11"/>
        <v>0.02606146909</v>
      </c>
    </row>
    <row r="8">
      <c r="A8" s="1" t="s">
        <v>102</v>
      </c>
      <c r="B8" s="1" t="s">
        <v>136</v>
      </c>
      <c r="C8" s="20">
        <f t="shared" si="1"/>
        <v>0.04397067707</v>
      </c>
      <c r="D8" s="1">
        <v>59.786</v>
      </c>
      <c r="E8" s="35">
        <f>IFERROR(__xludf.DUMMYFUNCTION("(GOOGLEFINANCE(""BATS:WQTM"")*D8)"),1917.93488)</f>
        <v>1917.93488</v>
      </c>
      <c r="F8" s="35">
        <f>(36.88*D8)</f>
        <v>2204.90768</v>
      </c>
      <c r="G8" s="25">
        <f>IFERROR(VLOOKUP(B8,'Stock Stats'!$A:$M,6,false),"")</f>
        <v>0</v>
      </c>
      <c r="H8" s="25">
        <f>IFERROR(VLOOKUP(B8,'Stock Stats'!$A:$M,8,false),"")</f>
        <v>0</v>
      </c>
      <c r="I8" s="26" t="s">
        <v>48</v>
      </c>
      <c r="J8" s="35">
        <f t="shared" si="2"/>
        <v>0</v>
      </c>
      <c r="K8" s="28" t="str">
        <f t="shared" si="3"/>
        <v>https://stockanalysis.com/etf/WQTM/dividend/</v>
      </c>
      <c r="L8" s="20">
        <f t="shared" si="4"/>
        <v>-0.1301518438</v>
      </c>
      <c r="M8" s="11" t="s">
        <v>49</v>
      </c>
      <c r="N8" s="8">
        <f>IFERROR(E8*VLOOKUP(B8,'Stock Stats'!$A:$M,11,false),"")</f>
        <v>8.63070696</v>
      </c>
      <c r="O8" s="1">
        <v>4.0</v>
      </c>
      <c r="S8" s="11"/>
      <c r="U8" s="16">
        <f t="shared" si="5"/>
        <v>0.03120125106</v>
      </c>
      <c r="V8" s="41" t="s">
        <v>113</v>
      </c>
      <c r="W8" s="16" t="str">
        <f t="array" ref="W8">TEXTJOIN(", ", TRUE, IF($A:$A=V8, $B:$B&amp;" ("&amp;TEXT($C:$C,"0.00%")&amp;")", ""))                                                                                                                                                         
</f>
        <v>POWR (3.12%)</v>
      </c>
      <c r="X8" s="30">
        <f t="shared" si="6"/>
        <v>1360.9517</v>
      </c>
      <c r="Y8" s="30">
        <f t="shared" si="7"/>
        <v>1347.79752</v>
      </c>
      <c r="Z8" s="30">
        <f t="shared" si="8"/>
        <v>76.39543</v>
      </c>
      <c r="AA8" s="16">
        <f t="shared" si="9"/>
        <v>0.00975975976</v>
      </c>
      <c r="AB8" s="30">
        <f t="shared" si="10"/>
        <v>5.4438068</v>
      </c>
      <c r="AC8" s="16">
        <f t="shared" si="11"/>
        <v>0.056133829</v>
      </c>
    </row>
    <row r="9">
      <c r="A9" s="1" t="s">
        <v>102</v>
      </c>
      <c r="B9" s="1" t="s">
        <v>88</v>
      </c>
      <c r="C9" s="16">
        <f t="shared" si="1"/>
        <v>0.1588005074</v>
      </c>
      <c r="D9" s="17">
        <v>47.826</v>
      </c>
      <c r="E9" s="19">
        <f>IFERROR(__xludf.DUMMYFUNCTION("(GOOGLEFINANCE(B9)*D9)"),6926.639580000001)</f>
        <v>6926.63958</v>
      </c>
      <c r="F9" s="19">
        <f>(125.17*D9)</f>
        <v>5986.38042</v>
      </c>
      <c r="G9" s="25">
        <f>IFERROR(VLOOKUP(B9,'Stock Stats'!$A:$M,6,false),"")</f>
        <v>0.008147483256</v>
      </c>
      <c r="H9" s="25">
        <f>IFERROR(VLOOKUP(B9,'Stock Stats'!$A:$M,8,false),"")</f>
        <v>0.9109</v>
      </c>
      <c r="I9" s="26" t="s">
        <v>48</v>
      </c>
      <c r="J9" s="27">
        <f t="shared" si="2"/>
        <v>56.43468</v>
      </c>
      <c r="K9" s="28" t="str">
        <f t="shared" si="3"/>
        <v>https://stockanalysis.com/etf/QTUM/dividend/</v>
      </c>
      <c r="L9" s="16">
        <f t="shared" si="4"/>
        <v>0.1570663897</v>
      </c>
      <c r="M9" s="1" t="s">
        <v>49</v>
      </c>
      <c r="N9" s="8">
        <f>IFERROR(E9*VLOOKUP(B9,'Stock Stats'!$A:$M,11,false),"")</f>
        <v>27.70655832</v>
      </c>
      <c r="O9" s="1">
        <v>4.0</v>
      </c>
      <c r="P9" s="19"/>
      <c r="R9" s="55"/>
      <c r="S9" s="11"/>
      <c r="U9" s="16"/>
      <c r="V9" s="41"/>
      <c r="W9" s="16"/>
      <c r="X9" s="30"/>
      <c r="Y9" s="30"/>
      <c r="Z9" s="30"/>
      <c r="AA9" s="16"/>
      <c r="AB9" s="30"/>
      <c r="AC9" s="16"/>
    </row>
    <row r="10">
      <c r="A10" s="11" t="s">
        <v>98</v>
      </c>
      <c r="B10" s="11" t="s">
        <v>97</v>
      </c>
      <c r="C10" s="20">
        <f t="shared" si="1"/>
        <v>0.1286576105</v>
      </c>
      <c r="D10" s="34">
        <v>170.573</v>
      </c>
      <c r="E10" s="35">
        <f>IFERROR(__xludf.DUMMYFUNCTION("(GOOGLEFINANCE(B10)*D10)"),5611.8517)</f>
        <v>5611.8517</v>
      </c>
      <c r="F10" s="35">
        <f>(30.96*D10)</f>
        <v>5280.94008</v>
      </c>
      <c r="G10" s="25">
        <f>IFERROR(VLOOKUP(B10,'Stock Stats'!$A:$M,6,false),"")</f>
        <v>0.03191489362</v>
      </c>
      <c r="H10" s="25">
        <f>IFERROR(VLOOKUP(B10,'Stock Stats'!$A:$M,8,false),"")</f>
        <v>0.0224</v>
      </c>
      <c r="I10" s="36" t="s">
        <v>48</v>
      </c>
      <c r="J10" s="35">
        <f t="shared" si="2"/>
        <v>179.10165</v>
      </c>
      <c r="K10" s="28" t="str">
        <f t="shared" si="3"/>
        <v>https://stockanalysis.com/etf/SCHD/dividend/</v>
      </c>
      <c r="L10" s="20">
        <f t="shared" si="4"/>
        <v>0.06266149871</v>
      </c>
      <c r="M10" s="11" t="s">
        <v>49</v>
      </c>
      <c r="N10" s="8">
        <f>IFERROR(E10*VLOOKUP(B10,'Stock Stats'!$A:$M,11,false),"")</f>
        <v>3.36711102</v>
      </c>
      <c r="O10" s="37">
        <v>5.0</v>
      </c>
      <c r="R10" s="55"/>
      <c r="S10" s="11"/>
      <c r="U10" s="16"/>
      <c r="V10" s="41"/>
      <c r="W10" s="16"/>
      <c r="X10" s="30"/>
      <c r="Y10" s="30"/>
      <c r="Z10" s="30"/>
      <c r="AA10" s="16"/>
      <c r="AB10" s="30"/>
    </row>
    <row r="11">
      <c r="A11" s="11" t="s">
        <v>90</v>
      </c>
      <c r="B11" s="11" t="s">
        <v>89</v>
      </c>
      <c r="C11" s="20">
        <f t="shared" si="1"/>
        <v>0.04711777215</v>
      </c>
      <c r="D11" s="34">
        <v>29.156</v>
      </c>
      <c r="E11" s="35">
        <f>IFERROR(__xludf.DUMMYFUNCTION("(GOOGLEFINANCE(B11)*D11)"),2055.20644)</f>
        <v>2055.20644</v>
      </c>
      <c r="F11" s="35">
        <f>(66.88*D11)</f>
        <v>1949.95328</v>
      </c>
      <c r="G11" s="25">
        <f>IFERROR(VLOOKUP(B11,'Stock Stats'!$A:$M,6,false),"")</f>
        <v>0.02567740105</v>
      </c>
      <c r="H11" s="25">
        <f>IFERROR(VLOOKUP(B11,'Stock Stats'!$A:$M,8,false),"")</f>
        <v>0.1772</v>
      </c>
      <c r="I11" s="36" t="s">
        <v>48</v>
      </c>
      <c r="J11" s="35">
        <f t="shared" si="2"/>
        <v>52.77236</v>
      </c>
      <c r="K11" s="28" t="str">
        <f t="shared" si="3"/>
        <v>https://stockanalysis.com/etf/VEA/dividend/</v>
      </c>
      <c r="L11" s="20">
        <f t="shared" si="4"/>
        <v>0.05397727273</v>
      </c>
      <c r="M11" s="11" t="s">
        <v>49</v>
      </c>
      <c r="N11" s="8">
        <f>IFERROR(E11*VLOOKUP(B11,'Stock Stats'!$A:$M,11,false),"")</f>
        <v>0.616561932</v>
      </c>
      <c r="O11" s="58">
        <v>6.0</v>
      </c>
      <c r="P11" s="19"/>
      <c r="S11" s="11"/>
      <c r="U11" s="11"/>
      <c r="V11" s="24"/>
      <c r="W11" s="26"/>
      <c r="X11" s="11"/>
    </row>
    <row r="12">
      <c r="A12" s="11" t="s">
        <v>90</v>
      </c>
      <c r="B12" s="11" t="s">
        <v>107</v>
      </c>
      <c r="C12" s="20">
        <f t="shared" si="1"/>
        <v>0.03640359207</v>
      </c>
      <c r="D12" s="34">
        <v>27.0</v>
      </c>
      <c r="E12" s="35">
        <f>IFERROR(__xludf.DUMMYFUNCTION("(GOOGLEFINANCE(B12)*D12)"),1587.8700000000001)</f>
        <v>1587.87</v>
      </c>
      <c r="F12" s="35">
        <f>(56.4*D12)</f>
        <v>1522.8</v>
      </c>
      <c r="G12" s="25">
        <f>IFERROR(VLOOKUP(B12,'Stock Stats'!$A:$M,6,false),"")</f>
        <v>0.02346539704</v>
      </c>
      <c r="H12" s="25">
        <f>IFERROR(VLOOKUP(B12,'Stock Stats'!$A:$M,8,false),"")</f>
        <v>-0.0017</v>
      </c>
      <c r="I12" s="36" t="s">
        <v>48</v>
      </c>
      <c r="J12" s="35">
        <f t="shared" si="2"/>
        <v>37.26</v>
      </c>
      <c r="K12" s="28" t="str">
        <f t="shared" si="3"/>
        <v>https://stockanalysis.com/etf/VWO/dividend/</v>
      </c>
      <c r="L12" s="20">
        <f t="shared" si="4"/>
        <v>0.04273049645</v>
      </c>
      <c r="M12" s="11" t="s">
        <v>49</v>
      </c>
      <c r="N12" s="8">
        <f>IFERROR(E12*VLOOKUP(B12,'Stock Stats'!$A:$M,11,false),"")</f>
        <v>0.952722</v>
      </c>
      <c r="O12" s="58">
        <v>6.0</v>
      </c>
      <c r="P12" s="27"/>
    </row>
    <row r="13">
      <c r="A13" s="11" t="s">
        <v>90</v>
      </c>
      <c r="B13" s="11" t="s">
        <v>120</v>
      </c>
      <c r="C13" s="20">
        <f t="shared" si="1"/>
        <v>0.009425116887</v>
      </c>
      <c r="D13" s="34">
        <v>11.004</v>
      </c>
      <c r="E13" s="35">
        <f>IFERROR(__xludf.DUMMYFUNCTION("(GOOGLEFINANCE(B13)*D13)"),411.10943999999995)</f>
        <v>411.10944</v>
      </c>
      <c r="F13" s="35">
        <f>(37.71*D13)</f>
        <v>414.96084</v>
      </c>
      <c r="G13" s="25">
        <f>IFERROR(VLOOKUP(B13,'Stock Stats'!$A:$M,6,false),"")</f>
        <v>0.03800856531</v>
      </c>
      <c r="H13" s="25">
        <f>IFERROR(VLOOKUP(B13,'Stock Stats'!$A:$M,8,false),"")</f>
        <v>0.1577</v>
      </c>
      <c r="I13" s="36" t="s">
        <v>48</v>
      </c>
      <c r="J13" s="35">
        <f t="shared" si="2"/>
        <v>15.62568</v>
      </c>
      <c r="K13" s="28" t="str">
        <f t="shared" si="3"/>
        <v>https://stockanalysis.com/etf/FLMX/dividend/</v>
      </c>
      <c r="L13" s="20">
        <f t="shared" si="4"/>
        <v>-0.00928135773</v>
      </c>
      <c r="M13" s="11" t="s">
        <v>49</v>
      </c>
      <c r="N13" s="8">
        <f>IFERROR(E13*VLOOKUP(B13,'Stock Stats'!$A:$M,11,false),"")</f>
        <v>0.781107936</v>
      </c>
      <c r="O13" s="58">
        <v>6.0</v>
      </c>
      <c r="P13" s="27"/>
    </row>
    <row r="14">
      <c r="A14" s="11" t="s">
        <v>113</v>
      </c>
      <c r="B14" s="11" t="s">
        <v>112</v>
      </c>
      <c r="C14" s="20">
        <f t="shared" si="1"/>
        <v>0.03120125106</v>
      </c>
      <c r="D14" s="34">
        <v>50.593</v>
      </c>
      <c r="E14" s="35">
        <f>IFERROR(__xludf.DUMMYFUNCTION("(GOOGLEFINANCE(B14)*D14)"),1360.9517)</f>
        <v>1360.9517</v>
      </c>
      <c r="F14" s="35">
        <f>(26.64*D14)</f>
        <v>1347.79752</v>
      </c>
      <c r="G14" s="25">
        <f>IFERROR(VLOOKUP(B14,'Stock Stats'!$A:$M,6,false),"")</f>
        <v>0.056133829</v>
      </c>
      <c r="H14" s="25">
        <f>IFERROR(VLOOKUP(B14,'Stock Stats'!$A:$M,8,false),"")</f>
        <v>0.4922</v>
      </c>
      <c r="I14" s="36" t="s">
        <v>48</v>
      </c>
      <c r="J14" s="35">
        <f t="shared" si="2"/>
        <v>76.39543</v>
      </c>
      <c r="K14" s="28" t="str">
        <f t="shared" si="3"/>
        <v>https://stockanalysis.com/etf/POWR/dividend/</v>
      </c>
      <c r="L14" s="20">
        <f t="shared" si="4"/>
        <v>0.00975975976</v>
      </c>
      <c r="M14" s="11" t="s">
        <v>49</v>
      </c>
      <c r="N14" s="8">
        <f>IFERROR(E14*VLOOKUP(B14,'Stock Stats'!$A:$M,11,false),"")</f>
        <v>5.4438068</v>
      </c>
      <c r="O14" s="58">
        <v>7.0</v>
      </c>
      <c r="P14" s="19"/>
      <c r="Q14" s="45" t="s">
        <v>133</v>
      </c>
      <c r="R14" s="46">
        <v>1.28</v>
      </c>
      <c r="S14" s="45" t="s">
        <v>12</v>
      </c>
    </row>
    <row r="15">
      <c r="A15" s="36"/>
      <c r="B15" s="11"/>
      <c r="C15" s="20"/>
      <c r="D15" s="43"/>
      <c r="E15" s="35"/>
      <c r="F15" s="35"/>
      <c r="G15" s="20"/>
      <c r="H15" s="20"/>
      <c r="I15" s="36"/>
      <c r="J15" s="35"/>
      <c r="K15" s="44"/>
      <c r="L15" s="20"/>
      <c r="M15" s="11"/>
      <c r="N15" s="8" t="str">
        <f t="shared" ref="N15:N21" si="12">IFERROR(E15*VLOOKUP(B15,Investments!$AC:$AM,10,false),"")</f>
        <v/>
      </c>
      <c r="O15" s="58"/>
      <c r="P15" s="27"/>
      <c r="Q15" s="47" t="s">
        <v>137</v>
      </c>
      <c r="R15" s="48" t="s">
        <v>138</v>
      </c>
      <c r="S15" s="52">
        <f>(Q16-R16)/R16
</f>
        <v>0.1121150464</v>
      </c>
    </row>
    <row r="16">
      <c r="C16" s="16"/>
      <c r="D16" s="17"/>
      <c r="E16" s="19"/>
      <c r="F16" s="19"/>
      <c r="G16" s="25"/>
      <c r="H16" s="25"/>
      <c r="I16" s="26"/>
      <c r="K16" s="27"/>
      <c r="L16" s="16"/>
      <c r="N16" s="8" t="str">
        <f t="shared" si="12"/>
        <v/>
      </c>
      <c r="Q16" s="50">
        <f>SUM($E$2:$E21)+R14</f>
        <v>43618.49778</v>
      </c>
      <c r="R16" s="51">
        <f>SUM(R1:R2)</f>
        <v>39221.21</v>
      </c>
      <c r="S16" s="53">
        <f>Q16-R16</f>
        <v>4397.28778</v>
      </c>
    </row>
    <row r="17">
      <c r="C17" s="16"/>
      <c r="D17" s="17"/>
      <c r="E17" s="19"/>
      <c r="F17" s="19"/>
      <c r="G17" s="25"/>
      <c r="H17" s="25"/>
      <c r="I17" s="26"/>
      <c r="K17" s="27"/>
      <c r="L17" s="16"/>
      <c r="N17" s="8" t="str">
        <f t="shared" si="12"/>
        <v/>
      </c>
    </row>
    <row r="18">
      <c r="C18" s="16"/>
      <c r="D18" s="17"/>
      <c r="E18" s="19"/>
      <c r="F18" s="19"/>
      <c r="G18" s="25"/>
      <c r="H18" s="25"/>
      <c r="I18" s="26"/>
      <c r="K18" s="27"/>
      <c r="L18" s="16"/>
      <c r="N18" s="8" t="str">
        <f t="shared" si="12"/>
        <v/>
      </c>
    </row>
    <row r="19">
      <c r="C19" s="16"/>
      <c r="D19" s="17"/>
      <c r="E19" s="19"/>
      <c r="F19" s="19"/>
      <c r="G19" s="25"/>
      <c r="H19" s="25"/>
      <c r="I19" s="26"/>
      <c r="K19" s="27"/>
      <c r="L19" s="16"/>
      <c r="N19" s="8" t="str">
        <f t="shared" si="12"/>
        <v/>
      </c>
    </row>
    <row r="20">
      <c r="C20" s="16"/>
      <c r="D20" s="17"/>
      <c r="E20" s="19"/>
      <c r="F20" s="19"/>
      <c r="G20" s="25"/>
      <c r="H20" s="25"/>
      <c r="I20" s="26"/>
      <c r="K20" s="27"/>
      <c r="L20" s="16"/>
      <c r="N20" s="8" t="str">
        <f t="shared" si="12"/>
        <v/>
      </c>
    </row>
    <row r="21">
      <c r="C21" s="16"/>
      <c r="D21" s="17"/>
      <c r="E21" s="19"/>
      <c r="F21" s="19"/>
      <c r="G21" s="25"/>
      <c r="H21" s="25"/>
      <c r="I21" s="26"/>
      <c r="K21" s="27"/>
      <c r="L21" s="16"/>
      <c r="N21" s="8" t="str">
        <f t="shared" si="12"/>
        <v/>
      </c>
    </row>
  </sheetData>
  <autoFilter ref="$A$1:$O$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8.75"/>
    <col customWidth="1" min="3" max="3" width="8.25"/>
    <col customWidth="1" min="4" max="4" width="7.75"/>
    <col customWidth="1" min="5" max="5" width="10.88"/>
    <col customWidth="1" min="6" max="6" width="9.75"/>
    <col customWidth="1" min="7" max="7" width="10.88"/>
    <col customWidth="1" min="8" max="8" width="9.5"/>
    <col customWidth="1" min="9" max="9" width="6.5"/>
    <col customWidth="1" min="10" max="10" width="9.88"/>
    <col customWidth="1" min="11" max="11" width="11.88"/>
    <col customWidth="1" min="12" max="12" width="8.0"/>
    <col customWidth="1" min="13" max="13" width="11.25"/>
    <col customWidth="1" min="14" max="15" width="11.13"/>
    <col customWidth="1" min="16" max="16" width="10.25"/>
    <col customWidth="1" min="20" max="20" width="9.5"/>
    <col customWidth="1" min="21" max="21" width="9.25"/>
    <col customWidth="1" min="22" max="22" width="16.5"/>
    <col customWidth="1" min="23" max="23" width="29.88"/>
    <col customWidth="1" min="24" max="26" width="10.25"/>
    <col customWidth="1" min="27" max="27" width="9.38"/>
    <col customWidth="1" min="28" max="28" width="8.63"/>
    <col customWidth="1" min="29" max="29" width="15.38"/>
  </cols>
  <sheetData>
    <row r="1">
      <c r="A1" s="4" t="s">
        <v>10</v>
      </c>
      <c r="B1" s="4" t="s">
        <v>1</v>
      </c>
      <c r="C1" s="4" t="s">
        <v>2</v>
      </c>
      <c r="D1" s="4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4" t="s">
        <v>9</v>
      </c>
      <c r="K1" s="12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14"/>
      <c r="Q1" s="7"/>
      <c r="R1" s="8"/>
      <c r="U1" s="10" t="s">
        <v>20</v>
      </c>
      <c r="V1" s="13" t="str">
        <f t="array" ref="V1:V8">UNIQUE(A:A)</f>
        <v>Description</v>
      </c>
      <c r="W1" s="10" t="s">
        <v>31</v>
      </c>
      <c r="X1" s="10" t="s">
        <v>4</v>
      </c>
      <c r="Y1" s="10" t="s">
        <v>32</v>
      </c>
      <c r="Z1" s="10" t="s">
        <v>33</v>
      </c>
      <c r="AA1" s="10" t="s">
        <v>34</v>
      </c>
      <c r="AB1" s="10" t="s">
        <v>35</v>
      </c>
      <c r="AC1" s="10" t="s">
        <v>19</v>
      </c>
    </row>
    <row r="2">
      <c r="A2" s="1" t="s">
        <v>38</v>
      </c>
      <c r="B2" s="1" t="s">
        <v>39</v>
      </c>
      <c r="C2" s="16">
        <f t="shared" ref="C2:C7" si="1">E2/$Q$16</f>
        <v>0.3003362087</v>
      </c>
      <c r="D2" s="17">
        <v>276.2793</v>
      </c>
      <c r="E2" s="19">
        <f>IFERROR(__xludf.DUMMYFUNCTION("(GOOGLEFINANCE(B2)*D2)"),24304.290020999997)</f>
        <v>24304.29002</v>
      </c>
      <c r="F2" s="19">
        <v>23872.0</v>
      </c>
      <c r="G2" s="25">
        <f>IFERROR(VLOOKUP(B2,'Stock Stats'!$A:$M,6,false),"")</f>
        <v>0.0103444356</v>
      </c>
      <c r="H2" s="25">
        <f>IFERROR(VLOOKUP(B2,'Stock Stats'!$A:$M,8,false),"")</f>
        <v>0.0275</v>
      </c>
      <c r="I2" s="26" t="s">
        <v>48</v>
      </c>
      <c r="J2" s="27">
        <f t="shared" ref="J2:J7" si="2">((E2*G2))</f>
        <v>251.414163</v>
      </c>
      <c r="K2" s="28" t="str">
        <f t="shared" ref="K2:K7" si="3">IF(I2="mutf","https://stockanalysis.com/quote/"&amp;I2&amp;"/"&amp;B2&amp;"/dividend/","https://stockanalysis.com/"&amp;I2&amp;"/"&amp;B2&amp;"/dividend/")</f>
        <v>https://stockanalysis.com/etf/SPYM/dividend/</v>
      </c>
      <c r="L2" s="16">
        <f t="shared" ref="L2:L7" si="4">(E2-F2)/F2
</f>
        <v>0.01810866375</v>
      </c>
      <c r="M2" s="1" t="s">
        <v>54</v>
      </c>
      <c r="N2" s="30">
        <f>IFERROR(E2*VLOOKUP(B2,'Stock Stats'!$A:$M,11,false),"")</f>
        <v>4.860858004</v>
      </c>
      <c r="O2" s="1">
        <v>1.0</v>
      </c>
      <c r="Q2" s="7"/>
      <c r="R2" s="8"/>
      <c r="U2" s="16">
        <f t="shared" ref="U2:U7" si="5">IFERROR(SUMIF($A$2:$A18,V2,$C$2:$C18),"")</f>
        <v>0.3003362087</v>
      </c>
      <c r="V2" s="31" t="s">
        <v>38</v>
      </c>
      <c r="W2" s="16" t="str">
        <f t="array" ref="W2">TEXTJOIN(", ", TRUE, IF($A:$A=V2, $B:$B&amp;" ("&amp;TEXT($C:$C,"0.00%")&amp;")", ""))                                                                                                                                                         
</f>
        <v>SPYM (30.03%)</v>
      </c>
      <c r="X2" s="30">
        <f t="shared" ref="X2:X7" si="6">IFERROR(SUMIF($A$2:$A18,V2,$E$2:$E18),"")</f>
        <v>24304.29002</v>
      </c>
      <c r="Y2" s="30">
        <f t="shared" ref="Y2:Y7" si="7">IFERROR(SUMIF($A$2:$A18,V2,$F$2:$F18),"")</f>
        <v>23872</v>
      </c>
      <c r="Z2" s="30">
        <f t="shared" ref="Z2:Z7" si="8">IFERROR(SUMIF($A$2:$A18,V2,$J$2:$J18),"")</f>
        <v>251.414163</v>
      </c>
      <c r="AA2" s="16">
        <f t="shared" ref="AA2:AA7" si="9">(X2-Y2)/Y2
</f>
        <v>0.01810866375</v>
      </c>
      <c r="AB2" s="30">
        <f t="shared" ref="AB2:AB7" si="10">IFERROR(SUMIF($A$2:$A18,V2,$N$2:$N18),"")</f>
        <v>4.860858004</v>
      </c>
      <c r="AC2" s="16">
        <f t="shared" ref="AC2:AC7" si="11">Z2/Y2</f>
        <v>0.01053175951</v>
      </c>
    </row>
    <row r="3">
      <c r="A3" s="1" t="s">
        <v>67</v>
      </c>
      <c r="B3" s="1" t="s">
        <v>68</v>
      </c>
      <c r="C3" s="16">
        <f t="shared" si="1"/>
        <v>0.104709828</v>
      </c>
      <c r="D3" s="17">
        <v>29.1767</v>
      </c>
      <c r="E3" s="19">
        <f>IFERROR(__xludf.DUMMYFUNCTION("(GOOGLEFINANCE(B3)*D3)"),8473.497214)</f>
        <v>8473.497214</v>
      </c>
      <c r="F3" s="19">
        <v>8259.63</v>
      </c>
      <c r="G3" s="25">
        <f>IFERROR(VLOOKUP(B3,'Stock Stats'!$A:$M,6,false),"")</f>
        <v>0.004510708629</v>
      </c>
      <c r="H3" s="25">
        <f>IFERROR(VLOOKUP(B3,'Stock Stats'!$A:$M,8,false),"")</f>
        <v>0.0494</v>
      </c>
      <c r="I3" s="26" t="s">
        <v>48</v>
      </c>
      <c r="J3" s="27">
        <f t="shared" si="2"/>
        <v>38.221477</v>
      </c>
      <c r="K3" s="28" t="str">
        <f t="shared" si="3"/>
        <v>https://stockanalysis.com/etf/QQQM/dividend/</v>
      </c>
      <c r="L3" s="16">
        <f t="shared" si="4"/>
        <v>0.02589307439</v>
      </c>
      <c r="M3" s="1" t="s">
        <v>54</v>
      </c>
      <c r="N3" s="30">
        <f>IFERROR(E3*VLOOKUP(B3,'Stock Stats'!$A:$M,11,false),"")</f>
        <v>12.71024582</v>
      </c>
      <c r="O3" s="1">
        <v>2.0</v>
      </c>
      <c r="U3" s="16">
        <f t="shared" si="5"/>
        <v>0.104709828</v>
      </c>
      <c r="V3" s="31" t="s">
        <v>67</v>
      </c>
      <c r="W3" s="16" t="str">
        <f t="array" ref="W3">TEXTJOIN(", ", TRUE, IF($A:$A=V3, $B:$B&amp;" ("&amp;TEXT($C:$C,"0.00%")&amp;")", ""))                                                                                                                                                         
</f>
        <v>QQQM (10.47%)</v>
      </c>
      <c r="X3" s="30">
        <f t="shared" si="6"/>
        <v>8473.497214</v>
      </c>
      <c r="Y3" s="30">
        <f t="shared" si="7"/>
        <v>8259.63</v>
      </c>
      <c r="Z3" s="30">
        <f t="shared" si="8"/>
        <v>38.221477</v>
      </c>
      <c r="AA3" s="16">
        <f t="shared" si="9"/>
        <v>0.02589307439</v>
      </c>
      <c r="AB3" s="30">
        <f t="shared" si="10"/>
        <v>12.71024582</v>
      </c>
      <c r="AC3" s="16">
        <f t="shared" si="11"/>
        <v>0.004627504743</v>
      </c>
    </row>
    <row r="4">
      <c r="A4" s="1" t="s">
        <v>78</v>
      </c>
      <c r="B4" s="39" t="s">
        <v>79</v>
      </c>
      <c r="C4" s="16">
        <f t="shared" si="1"/>
        <v>0.1085706531</v>
      </c>
      <c r="D4" s="17">
        <v>75.9897</v>
      </c>
      <c r="E4" s="19">
        <f>IFERROR(__xludf.DUMMYFUNCTION("(GOOGLEFINANCE(B4)*D4)"),8785.929114)</f>
        <v>8785.929114</v>
      </c>
      <c r="F4" s="19">
        <v>8206.49</v>
      </c>
      <c r="G4" s="25">
        <f>IFERROR(VLOOKUP(B4,'Stock Stats'!$A:$M,6,false),"")</f>
        <v>0.003719079744</v>
      </c>
      <c r="H4" s="25">
        <f>IFERROR(VLOOKUP(B4,'Stock Stats'!$A:$M,8,false),"")</f>
        <v>0.109</v>
      </c>
      <c r="I4" s="26" t="s">
        <v>48</v>
      </c>
      <c r="J4" s="27">
        <f t="shared" si="2"/>
        <v>32.675571</v>
      </c>
      <c r="K4" s="28" t="str">
        <f t="shared" si="3"/>
        <v>https://stockanalysis.com/etf/VGT/dividend/</v>
      </c>
      <c r="L4" s="16">
        <f t="shared" si="4"/>
        <v>0.07060742339</v>
      </c>
      <c r="M4" s="1" t="s">
        <v>54</v>
      </c>
      <c r="N4" s="30">
        <f>IFERROR(E4*VLOOKUP(B4,'Stock Stats'!$A:$M,11,false),"")</f>
        <v>7.907336203</v>
      </c>
      <c r="O4" s="1">
        <v>3.0</v>
      </c>
      <c r="U4" s="16">
        <f t="shared" si="5"/>
        <v>0.1085706531</v>
      </c>
      <c r="V4" s="31" t="s">
        <v>78</v>
      </c>
      <c r="W4" s="16" t="str">
        <f t="array" ref="W4">TEXTJOIN(", ", TRUE, IF($A:$A=V4, $B:$B&amp;" ("&amp;TEXT($C:$C,"0.00%")&amp;")", ""))                                                                                                                                                         
</f>
        <v>VGT (10.86%)</v>
      </c>
      <c r="X4" s="30">
        <f t="shared" si="6"/>
        <v>8785.929114</v>
      </c>
      <c r="Y4" s="30">
        <f t="shared" si="7"/>
        <v>8206.49</v>
      </c>
      <c r="Z4" s="30">
        <f t="shared" si="8"/>
        <v>32.675571</v>
      </c>
      <c r="AA4" s="16">
        <f t="shared" si="9"/>
        <v>0.07060742339</v>
      </c>
      <c r="AB4" s="30">
        <f t="shared" si="10"/>
        <v>7.907336203</v>
      </c>
      <c r="AC4" s="16">
        <f t="shared" si="11"/>
        <v>0.003981674382</v>
      </c>
    </row>
    <row r="5">
      <c r="A5" s="26" t="s">
        <v>87</v>
      </c>
      <c r="B5" s="39" t="s">
        <v>88</v>
      </c>
      <c r="C5" s="16">
        <f t="shared" si="1"/>
        <v>0.1624581151</v>
      </c>
      <c r="D5" s="17">
        <v>90.7733</v>
      </c>
      <c r="E5" s="19">
        <f>IFERROR(__xludf.DUMMYFUNCTION("(GOOGLEFINANCE(B5)*D5)"),13146.697039000002)</f>
        <v>13146.69704</v>
      </c>
      <c r="F5" s="19">
        <v>12730.82</v>
      </c>
      <c r="G5" s="25">
        <f>IFERROR(VLOOKUP(B5,'Stock Stats'!$A:$M,6,false),"")</f>
        <v>0.008147483256</v>
      </c>
      <c r="H5" s="25">
        <f>IFERROR(VLOOKUP(B5,'Stock Stats'!$A:$M,8,false),"")</f>
        <v>0.9109</v>
      </c>
      <c r="I5" s="26" t="s">
        <v>48</v>
      </c>
      <c r="J5" s="27">
        <f t="shared" si="2"/>
        <v>107.112494</v>
      </c>
      <c r="K5" s="28" t="str">
        <f t="shared" si="3"/>
        <v>https://stockanalysis.com/etf/QTUM/dividend/</v>
      </c>
      <c r="L5" s="16">
        <f t="shared" si="4"/>
        <v>0.03266694832</v>
      </c>
      <c r="M5" s="1" t="s">
        <v>54</v>
      </c>
      <c r="N5" s="30">
        <f>IFERROR(E5*VLOOKUP(B5,'Stock Stats'!$A:$M,11,false),"")</f>
        <v>52.58678816</v>
      </c>
      <c r="O5" s="1">
        <v>4.0</v>
      </c>
      <c r="S5" s="11"/>
      <c r="T5" s="11"/>
      <c r="U5" s="16">
        <f t="shared" si="5"/>
        <v>0.1624581151</v>
      </c>
      <c r="V5" s="41" t="s">
        <v>87</v>
      </c>
      <c r="W5" s="16" t="str">
        <f t="array" ref="W5">TEXTJOIN(", ", TRUE, IF($A:$A=V5, $B:$B&amp;" ("&amp;TEXT($C:$C,"0.00%")&amp;")", ""))                                                                                                                                                         
</f>
        <v>QTUM (16.25%)</v>
      </c>
      <c r="X5" s="30">
        <f t="shared" si="6"/>
        <v>13146.69704</v>
      </c>
      <c r="Y5" s="30">
        <f t="shared" si="7"/>
        <v>12730.82</v>
      </c>
      <c r="Z5" s="30">
        <f t="shared" si="8"/>
        <v>107.112494</v>
      </c>
      <c r="AA5" s="16">
        <f t="shared" si="9"/>
        <v>0.03266694832</v>
      </c>
      <c r="AB5" s="30">
        <f t="shared" si="10"/>
        <v>52.58678816</v>
      </c>
      <c r="AC5" s="16">
        <f t="shared" si="11"/>
        <v>0.008413636671</v>
      </c>
    </row>
    <row r="6">
      <c r="A6" s="26" t="s">
        <v>106</v>
      </c>
      <c r="B6" s="31" t="s">
        <v>97</v>
      </c>
      <c r="C6" s="16">
        <f t="shared" si="1"/>
        <v>0.257767199</v>
      </c>
      <c r="D6" s="17">
        <v>634.0259</v>
      </c>
      <c r="E6" s="19">
        <f>IFERROR(__xludf.DUMMYFUNCTION("(GOOGLEFINANCE(B6)*D6)"),20859.45211)</f>
        <v>20859.45211</v>
      </c>
      <c r="F6" s="19">
        <v>19997.33</v>
      </c>
      <c r="G6" s="25">
        <f>IFERROR(VLOOKUP(B6,'Stock Stats'!$A:$M,6,false),"")</f>
        <v>0.03191489362</v>
      </c>
      <c r="H6" s="25">
        <f>IFERROR(VLOOKUP(B6,'Stock Stats'!$A:$M,8,false),"")</f>
        <v>0.0224</v>
      </c>
      <c r="I6" s="26" t="s">
        <v>48</v>
      </c>
      <c r="J6" s="27">
        <f t="shared" si="2"/>
        <v>665.727195</v>
      </c>
      <c r="K6" s="28" t="str">
        <f t="shared" si="3"/>
        <v>https://stockanalysis.com/etf/SCHD/dividend/</v>
      </c>
      <c r="L6" s="16">
        <f t="shared" si="4"/>
        <v>0.04311186093</v>
      </c>
      <c r="M6" s="1" t="s">
        <v>54</v>
      </c>
      <c r="N6" s="30">
        <f>IFERROR(E6*VLOOKUP(B6,'Stock Stats'!$A:$M,11,false),"")</f>
        <v>12.51567127</v>
      </c>
      <c r="O6" s="1">
        <v>5.0</v>
      </c>
      <c r="S6" s="11"/>
      <c r="T6" s="11"/>
      <c r="U6" s="16">
        <f t="shared" si="5"/>
        <v>0.257767199</v>
      </c>
      <c r="V6" s="41" t="s">
        <v>106</v>
      </c>
      <c r="W6" s="16" t="str">
        <f t="array" ref="W6">TEXTJOIN(", ", TRUE, IF($A:$A=V6, $B:$B&amp;" ("&amp;TEXT($C:$C,"0.00%")&amp;")", ""))                                                                                                                                                         
</f>
        <v>SCHD (25.78%)</v>
      </c>
      <c r="X6" s="30">
        <f t="shared" si="6"/>
        <v>20859.45211</v>
      </c>
      <c r="Y6" s="30">
        <f t="shared" si="7"/>
        <v>19997.33</v>
      </c>
      <c r="Z6" s="30">
        <f t="shared" si="8"/>
        <v>665.727195</v>
      </c>
      <c r="AA6" s="16">
        <f t="shared" si="9"/>
        <v>0.04311186093</v>
      </c>
      <c r="AB6" s="30">
        <f t="shared" si="10"/>
        <v>12.51567127</v>
      </c>
      <c r="AC6" s="16">
        <f t="shared" si="11"/>
        <v>0.03329080407</v>
      </c>
    </row>
    <row r="7">
      <c r="A7" s="36" t="s">
        <v>90</v>
      </c>
      <c r="B7" s="1" t="s">
        <v>117</v>
      </c>
      <c r="C7" s="16">
        <f t="shared" si="1"/>
        <v>0.06611486907</v>
      </c>
      <c r="D7" s="17">
        <v>63.3466</v>
      </c>
      <c r="E7" s="19">
        <f>IFERROR(__xludf.DUMMYFUNCTION("(GOOGLEFINANCE(B7)*D7)"),5350.253836)</f>
        <v>5350.253836</v>
      </c>
      <c r="F7" s="19">
        <v>5269.76</v>
      </c>
      <c r="G7" s="25">
        <f>IFERROR(VLOOKUP(B7,'Stock Stats'!$A:$M,6,false),"")</f>
        <v>0.02592943405</v>
      </c>
      <c r="H7" s="25">
        <f>IFERROR(VLOOKUP(B7,'Stock Stats'!$A:$M,8,false),"")</f>
        <v>0.1204</v>
      </c>
      <c r="I7" s="26" t="s">
        <v>48</v>
      </c>
      <c r="J7" s="27">
        <f t="shared" si="2"/>
        <v>138.729054</v>
      </c>
      <c r="K7" s="28" t="str">
        <f t="shared" si="3"/>
        <v>https://stockanalysis.com/etf/VXUS/dividend/</v>
      </c>
      <c r="L7" s="16">
        <f t="shared" si="4"/>
        <v>0.0152746683</v>
      </c>
      <c r="M7" s="1" t="s">
        <v>54</v>
      </c>
      <c r="N7" s="30">
        <f>IFERROR(E7*VLOOKUP(B7,'Stock Stats'!$A:$M,11,false),"")</f>
        <v>2.675126918</v>
      </c>
      <c r="O7" s="1">
        <v>6.0</v>
      </c>
      <c r="R7" s="19"/>
      <c r="S7" s="11"/>
      <c r="T7" s="11"/>
      <c r="U7" s="16">
        <f t="shared" si="5"/>
        <v>0.06611486907</v>
      </c>
      <c r="V7" s="41" t="s">
        <v>90</v>
      </c>
      <c r="W7" s="16" t="str">
        <f t="array" ref="W7">TEXTJOIN(", ", TRUE, IF($A:$A=V7, $B:$B&amp;" ("&amp;TEXT($C:$C,"0.00%")&amp;")", ""))                                                                                                                                                         
</f>
        <v>VXUS (6.61%)</v>
      </c>
      <c r="X7" s="30">
        <f t="shared" si="6"/>
        <v>5350.253836</v>
      </c>
      <c r="Y7" s="30">
        <f t="shared" si="7"/>
        <v>5269.76</v>
      </c>
      <c r="Z7" s="30">
        <f t="shared" si="8"/>
        <v>138.729054</v>
      </c>
      <c r="AA7" s="16">
        <f t="shared" si="9"/>
        <v>0.0152746683</v>
      </c>
      <c r="AB7" s="30">
        <f t="shared" si="10"/>
        <v>2.675126918</v>
      </c>
      <c r="AC7" s="16">
        <f t="shared" si="11"/>
        <v>0.02632549756</v>
      </c>
    </row>
    <row r="8">
      <c r="A8" s="26"/>
      <c r="C8" s="16"/>
      <c r="D8" s="17"/>
      <c r="E8" s="19"/>
      <c r="F8" s="19"/>
      <c r="G8" s="25"/>
      <c r="H8" s="25"/>
      <c r="I8" s="26"/>
      <c r="K8" s="27"/>
      <c r="L8" s="16"/>
      <c r="S8" s="11"/>
      <c r="T8" s="11"/>
      <c r="U8" s="16"/>
      <c r="V8" s="41"/>
      <c r="W8" s="16"/>
      <c r="X8" s="30"/>
      <c r="Y8" s="30"/>
      <c r="Z8" s="30"/>
      <c r="AA8" s="16"/>
      <c r="AB8" s="30"/>
      <c r="AC8" s="30"/>
    </row>
    <row r="9">
      <c r="C9" s="16"/>
      <c r="D9" s="17"/>
      <c r="E9" s="19"/>
      <c r="F9" s="19"/>
      <c r="G9" s="25"/>
      <c r="H9" s="25"/>
      <c r="K9" s="27"/>
      <c r="L9" s="16"/>
      <c r="S9" s="11"/>
      <c r="T9" s="11"/>
      <c r="U9" s="11"/>
      <c r="V9" s="20"/>
      <c r="W9" s="11"/>
      <c r="X9" s="11"/>
    </row>
    <row r="10">
      <c r="C10" s="16"/>
      <c r="D10" s="17"/>
      <c r="E10" s="19"/>
      <c r="F10" s="19"/>
      <c r="G10" s="25"/>
      <c r="H10" s="25"/>
      <c r="K10" s="27"/>
      <c r="L10" s="16"/>
      <c r="S10" s="11"/>
      <c r="T10" s="11"/>
      <c r="U10" s="11"/>
      <c r="V10" s="20"/>
      <c r="W10" s="11"/>
      <c r="X10" s="11"/>
    </row>
    <row r="11">
      <c r="A11" s="26"/>
      <c r="C11" s="16"/>
      <c r="E11" s="19"/>
      <c r="F11" s="19"/>
      <c r="G11" s="25"/>
      <c r="H11" s="25"/>
      <c r="I11" s="26"/>
      <c r="K11" s="27"/>
      <c r="L11" s="16"/>
      <c r="S11" s="11"/>
      <c r="T11" s="11"/>
      <c r="U11" s="11"/>
      <c r="V11" s="24"/>
      <c r="W11" s="11"/>
      <c r="X11" s="11"/>
      <c r="Y11" s="42"/>
    </row>
    <row r="12">
      <c r="A12" s="26"/>
      <c r="C12" s="16"/>
      <c r="D12" s="17"/>
      <c r="E12" s="19"/>
      <c r="F12" s="19"/>
      <c r="G12" s="25"/>
      <c r="H12" s="25"/>
      <c r="K12" s="27"/>
      <c r="L12" s="16"/>
      <c r="W12" s="11"/>
      <c r="X12" s="11"/>
      <c r="Y12" s="42"/>
    </row>
    <row r="13">
      <c r="A13" s="36"/>
      <c r="B13" s="11"/>
      <c r="C13" s="20"/>
      <c r="D13" s="43"/>
      <c r="E13" s="35"/>
      <c r="F13" s="35"/>
      <c r="G13" s="20"/>
      <c r="H13" s="20"/>
      <c r="I13" s="11"/>
      <c r="J13" s="35"/>
      <c r="K13" s="44"/>
      <c r="L13" s="20"/>
      <c r="N13" s="35"/>
      <c r="O13" s="35"/>
      <c r="P13" s="27"/>
      <c r="W13" s="11"/>
      <c r="X13" s="11"/>
      <c r="Y13" s="42"/>
    </row>
    <row r="14">
      <c r="A14" s="26"/>
      <c r="B14" s="11"/>
      <c r="C14" s="20"/>
      <c r="D14" s="43"/>
      <c r="E14" s="35"/>
      <c r="F14" s="35"/>
      <c r="G14" s="20"/>
      <c r="H14" s="20"/>
      <c r="I14" s="11"/>
      <c r="J14" s="35"/>
      <c r="K14" s="44"/>
      <c r="L14" s="20"/>
      <c r="N14" s="35"/>
      <c r="O14" s="35"/>
      <c r="P14" s="19"/>
      <c r="Q14" s="45" t="s">
        <v>133</v>
      </c>
      <c r="R14" s="46">
        <v>3.49</v>
      </c>
      <c r="W14" s="11"/>
      <c r="X14" s="11"/>
      <c r="Y14" s="42"/>
    </row>
    <row r="15">
      <c r="A15" s="26"/>
      <c r="B15" s="11"/>
      <c r="C15" s="20"/>
      <c r="D15" s="43"/>
      <c r="E15" s="35"/>
      <c r="F15" s="35"/>
      <c r="G15" s="20"/>
      <c r="H15" s="20"/>
      <c r="I15" s="11"/>
      <c r="J15" s="35"/>
      <c r="K15" s="44"/>
      <c r="L15" s="20"/>
      <c r="N15" s="35"/>
      <c r="O15" s="35"/>
      <c r="P15" s="27"/>
      <c r="Q15" s="47" t="s">
        <v>137</v>
      </c>
      <c r="R15" s="48" t="s">
        <v>138</v>
      </c>
      <c r="S15" s="45" t="s">
        <v>12</v>
      </c>
      <c r="W15" s="11"/>
      <c r="X15" s="11"/>
      <c r="Y15" s="42"/>
    </row>
    <row r="16">
      <c r="B16" s="11"/>
      <c r="C16" s="20"/>
      <c r="D16" s="43"/>
      <c r="E16" s="35"/>
      <c r="F16" s="35"/>
      <c r="G16" s="25"/>
      <c r="H16" s="49"/>
      <c r="I16" s="26"/>
      <c r="J16" s="35"/>
      <c r="K16" s="44"/>
      <c r="L16" s="20"/>
      <c r="N16" s="35"/>
      <c r="O16" s="35"/>
      <c r="Q16" s="50">
        <f>SUM($E$2:$E18)+R14</f>
        <v>80923.60933</v>
      </c>
      <c r="R16" s="51">
        <f>SUM(F2:F18)+R14</f>
        <v>78339.52</v>
      </c>
      <c r="S16" s="52">
        <f>(Q16-R16)/R16
</f>
        <v>0.0329857693</v>
      </c>
      <c r="W16" s="11"/>
      <c r="X16" s="11"/>
      <c r="Y16" s="42"/>
    </row>
    <row r="17">
      <c r="B17" s="11"/>
      <c r="C17" s="20"/>
      <c r="D17" s="43"/>
      <c r="E17" s="35"/>
      <c r="F17" s="35"/>
      <c r="G17" s="20"/>
      <c r="H17" s="20"/>
      <c r="I17" s="11"/>
      <c r="J17" s="35"/>
      <c r="K17" s="44"/>
      <c r="L17" s="20"/>
      <c r="N17" s="35"/>
      <c r="O17" s="35"/>
      <c r="S17" s="53">
        <f>Q16-R16</f>
        <v>2584.089334</v>
      </c>
      <c r="W17" s="19"/>
      <c r="X17" s="11"/>
      <c r="Y17" s="19"/>
    </row>
    <row r="18">
      <c r="A18" s="1"/>
      <c r="B18" s="11"/>
      <c r="C18" s="20"/>
      <c r="D18" s="43"/>
      <c r="E18" s="35"/>
      <c r="F18" s="35"/>
      <c r="G18" s="25"/>
      <c r="H18" s="49"/>
      <c r="I18" s="26"/>
      <c r="J18" s="35"/>
      <c r="K18" s="44"/>
      <c r="L18" s="20"/>
      <c r="M18" s="11"/>
      <c r="N18" s="35"/>
      <c r="O18" s="35"/>
      <c r="W18" s="19"/>
      <c r="X18" s="19"/>
      <c r="Y18" s="19"/>
    </row>
  </sheetData>
  <autoFilter ref="$A$1:$O$1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1</v>
      </c>
      <c r="B1" s="5" t="s">
        <v>17</v>
      </c>
      <c r="C1" s="5" t="s">
        <v>18</v>
      </c>
      <c r="D1" s="5" t="s">
        <v>8</v>
      </c>
      <c r="E1" s="5" t="s">
        <v>11</v>
      </c>
      <c r="F1" s="5" t="s">
        <v>19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14</v>
      </c>
      <c r="L1" s="5" t="s">
        <v>25</v>
      </c>
      <c r="M1" s="5" t="s">
        <v>26</v>
      </c>
    </row>
    <row r="2">
      <c r="A2" s="11" t="s">
        <v>27</v>
      </c>
      <c r="B2" s="11" t="s">
        <v>28</v>
      </c>
      <c r="C2" s="11" t="s">
        <v>29</v>
      </c>
      <c r="D2" s="11" t="s">
        <v>30</v>
      </c>
      <c r="E2" s="18" t="str">
        <f t="shared" ref="E2:E72" si="1">IF(D2="mutf","https://stockanalysis.com/quote/"&amp;D2&amp;"/"&amp;A2&amp;"/dividend/","https://stockanalysis.com/"&amp;D2&amp;"/"&amp;A2&amp;"/dividend/")</f>
        <v>https://stockanalysis.com/stocks/META/dividend/</v>
      </c>
      <c r="F2" s="20">
        <f>IFERROR(__xludf.DUMMYFUNCTION("IFERROR(G2/GOOGLEFINANCE(A2,""price""),""0.00%"")"),0.003348374443930673)</f>
        <v>0.003348374444</v>
      </c>
      <c r="G2" s="21">
        <v>2.1</v>
      </c>
      <c r="H2" s="20">
        <v>0.0244</v>
      </c>
      <c r="I2" s="20">
        <v>0.0764</v>
      </c>
      <c r="J2" s="22">
        <v>1.0</v>
      </c>
      <c r="K2" s="23">
        <v>0.0</v>
      </c>
      <c r="L2" s="24"/>
      <c r="M2" s="24"/>
    </row>
    <row r="3">
      <c r="A3" s="11" t="s">
        <v>40</v>
      </c>
      <c r="B3" s="11" t="s">
        <v>41</v>
      </c>
      <c r="C3" s="11" t="s">
        <v>42</v>
      </c>
      <c r="D3" s="11" t="s">
        <v>30</v>
      </c>
      <c r="E3" s="18" t="str">
        <f t="shared" si="1"/>
        <v>https://stockanalysis.com/stocks/COST/dividend/</v>
      </c>
      <c r="F3" s="20">
        <f>IFERROR(__xludf.DUMMYFUNCTION("IFERROR(G3/GOOGLEFINANCE(A3,""price""),""0.00%"")"),0.005790943697361185)</f>
        <v>0.005790943697</v>
      </c>
      <c r="G3" s="21">
        <v>5.37</v>
      </c>
      <c r="H3" s="20">
        <v>0.126</v>
      </c>
      <c r="I3" s="20">
        <v>0.2787</v>
      </c>
      <c r="J3" s="22">
        <v>1.0</v>
      </c>
      <c r="K3" s="23">
        <v>0.0</v>
      </c>
      <c r="L3" s="24"/>
      <c r="M3" s="24"/>
    </row>
    <row r="4">
      <c r="A4" s="11" t="s">
        <v>44</v>
      </c>
      <c r="B4" s="11" t="s">
        <v>28</v>
      </c>
      <c r="C4" s="11" t="s">
        <v>45</v>
      </c>
      <c r="D4" s="11" t="s">
        <v>30</v>
      </c>
      <c r="E4" s="18" t="str">
        <f t="shared" si="1"/>
        <v>https://stockanalysis.com/stocks/NVDA/dividend/</v>
      </c>
      <c r="F4" s="20">
        <f>IFERROR(__xludf.DUMMYFUNCTION("IFERROR(G4/GOOGLEFINANCE(A4,""price""),""0.00%"")"),1.8862586060548902E-4)</f>
        <v>0.0001886258606</v>
      </c>
      <c r="G4" s="21">
        <v>0.04</v>
      </c>
      <c r="H4" s="20">
        <v>6.0</v>
      </c>
      <c r="I4" s="20">
        <v>0.0429</v>
      </c>
      <c r="J4" s="22">
        <v>2.0</v>
      </c>
      <c r="K4" s="23">
        <v>0.0</v>
      </c>
      <c r="L4" s="24"/>
      <c r="M4" s="24"/>
    </row>
    <row r="5">
      <c r="A5" s="11" t="s">
        <v>46</v>
      </c>
      <c r="B5" s="11" t="s">
        <v>47</v>
      </c>
      <c r="C5" s="11" t="s">
        <v>45</v>
      </c>
      <c r="D5" s="11" t="s">
        <v>30</v>
      </c>
      <c r="E5" s="18" t="str">
        <f t="shared" si="1"/>
        <v>https://stockanalysis.com/stocks/ASML/dividend/</v>
      </c>
      <c r="F5" s="20">
        <f>IFERROR(__xludf.DUMMYFUNCTION("IFERROR(G5/GOOGLEFINANCE(A5,""price""),""0.00%"")"),0.0023864229185397313)</f>
        <v>0.002386422919</v>
      </c>
      <c r="G5" s="21">
        <v>4.3</v>
      </c>
      <c r="H5" s="20">
        <v>0.2649</v>
      </c>
      <c r="I5" s="20">
        <v>0.2507</v>
      </c>
      <c r="J5" s="22">
        <v>2.0</v>
      </c>
      <c r="K5" s="23">
        <v>0.0</v>
      </c>
      <c r="L5" s="24"/>
      <c r="M5" s="24"/>
    </row>
    <row r="6">
      <c r="A6" s="11" t="s">
        <v>50</v>
      </c>
      <c r="B6" s="11" t="s">
        <v>41</v>
      </c>
      <c r="C6" s="11" t="s">
        <v>51</v>
      </c>
      <c r="D6" s="11" t="s">
        <v>30</v>
      </c>
      <c r="E6" s="18" t="str">
        <f t="shared" si="1"/>
        <v>https://stockanalysis.com/stocks/ENB/dividend/</v>
      </c>
      <c r="F6" s="20">
        <f>IFERROR(__xludf.DUMMYFUNCTION("IFERROR(G6/GOOGLEFINANCE(A6,""price""),""0.00%"")"),0.06755555555555555)</f>
        <v>0.06755555556</v>
      </c>
      <c r="G6" s="21">
        <v>3.8</v>
      </c>
      <c r="H6" s="20">
        <v>0.0433</v>
      </c>
      <c r="I6" s="20">
        <v>1.3123</v>
      </c>
      <c r="J6" s="22">
        <v>2.0</v>
      </c>
      <c r="K6" s="23">
        <v>0.0</v>
      </c>
      <c r="L6" s="24"/>
      <c r="M6" s="24"/>
    </row>
    <row r="7">
      <c r="A7" s="11" t="s">
        <v>52</v>
      </c>
      <c r="B7" s="11" t="s">
        <v>41</v>
      </c>
      <c r="C7" s="11" t="s">
        <v>53</v>
      </c>
      <c r="D7" s="11" t="s">
        <v>30</v>
      </c>
      <c r="E7" s="18" t="str">
        <f t="shared" si="1"/>
        <v>https://stockanalysis.com/stocks/BTI/dividend/</v>
      </c>
      <c r="F7" s="20">
        <f>IFERROR(__xludf.DUMMYFUNCTION("IFERROR(G7/GOOGLEFINANCE(A7,""price""),""0.00%"")"),0.039477924589107316)</f>
        <v>0.03947792459</v>
      </c>
      <c r="G7" s="21">
        <v>2.45</v>
      </c>
      <c r="H7" s="20">
        <v>0.0487</v>
      </c>
      <c r="I7" s="20">
        <v>0.6813</v>
      </c>
      <c r="J7" s="22">
        <v>3.0</v>
      </c>
      <c r="K7" s="23">
        <v>0.0</v>
      </c>
      <c r="L7" s="24"/>
      <c r="M7" s="24"/>
    </row>
    <row r="8">
      <c r="A8" s="11" t="s">
        <v>55</v>
      </c>
      <c r="B8" s="11" t="s">
        <v>56</v>
      </c>
      <c r="C8" s="11" t="s">
        <v>57</v>
      </c>
      <c r="D8" s="11" t="s">
        <v>30</v>
      </c>
      <c r="E8" s="18" t="str">
        <f t="shared" si="1"/>
        <v>https://stockanalysis.com/stocks/MAIN/dividend/</v>
      </c>
      <c r="F8" s="20">
        <f>IFERROR(__xludf.DUMMYFUNCTION("IFERROR(G8/GOOGLEFINANCE(A8,""price""),""0.00%"")"),0.05704697986577181)</f>
        <v>0.05704697987</v>
      </c>
      <c r="G8" s="21">
        <v>3.06</v>
      </c>
      <c r="H8" s="20">
        <v>0.0286</v>
      </c>
      <c r="I8" s="20">
        <v>0.9084</v>
      </c>
      <c r="J8" s="22">
        <v>5.0</v>
      </c>
      <c r="K8" s="23">
        <v>0.0</v>
      </c>
      <c r="L8" s="24"/>
      <c r="M8" s="24"/>
    </row>
    <row r="9">
      <c r="A9" s="11" t="s">
        <v>58</v>
      </c>
      <c r="B9" s="11" t="s">
        <v>56</v>
      </c>
      <c r="C9" s="11" t="s">
        <v>59</v>
      </c>
      <c r="D9" s="11" t="s">
        <v>30</v>
      </c>
      <c r="E9" s="18" t="str">
        <f t="shared" si="1"/>
        <v>https://stockanalysis.com/stocks/VICI/dividend/</v>
      </c>
      <c r="F9" s="20">
        <f>IFERROR(__xludf.DUMMYFUNCTION("IFERROR(G9/GOOGLEFINANCE(A9,""price""),""0.00%"")"),0.06708051166290444)</f>
        <v>0.06708051166</v>
      </c>
      <c r="G9" s="21">
        <v>1.783</v>
      </c>
      <c r="H9" s="20">
        <v>0.0405</v>
      </c>
      <c r="I9" s="20">
        <v>0.6176</v>
      </c>
      <c r="J9" s="22">
        <v>7.0</v>
      </c>
      <c r="K9" s="23">
        <v>0.0</v>
      </c>
      <c r="L9" s="32">
        <v>2.45</v>
      </c>
      <c r="M9" s="23">
        <f t="shared" ref="M9:M11" si="2">G9/L9</f>
        <v>0.727755102</v>
      </c>
    </row>
    <row r="10">
      <c r="A10" s="33" t="s">
        <v>60</v>
      </c>
      <c r="B10" s="11" t="s">
        <v>56</v>
      </c>
      <c r="C10" s="11" t="s">
        <v>59</v>
      </c>
      <c r="D10" s="11" t="s">
        <v>30</v>
      </c>
      <c r="E10" s="18" t="str">
        <f t="shared" si="1"/>
        <v>https://stockanalysis.com/stocks/EQIX/dividend/</v>
      </c>
      <c r="F10" s="20">
        <f>IFERROR(__xludf.DUMMYFUNCTION("IFERROR(G10/GOOGLEFINANCE(A10,""price""),""0.00%"")"),0.0186927697960612)</f>
        <v>0.0186927698</v>
      </c>
      <c r="G10" s="21">
        <v>19.23</v>
      </c>
      <c r="H10" s="20">
        <v>0.1006</v>
      </c>
      <c r="I10" s="20">
        <v>1.3621</v>
      </c>
      <c r="J10" s="22">
        <v>9.0</v>
      </c>
      <c r="K10" s="23">
        <v>0.0</v>
      </c>
      <c r="L10" s="32">
        <v>42.5</v>
      </c>
      <c r="M10" s="23">
        <f t="shared" si="2"/>
        <v>0.4524705882</v>
      </c>
    </row>
    <row r="11">
      <c r="A11" s="11" t="s">
        <v>61</v>
      </c>
      <c r="B11" s="11" t="s">
        <v>56</v>
      </c>
      <c r="C11" s="11" t="s">
        <v>59</v>
      </c>
      <c r="D11" s="11" t="s">
        <v>30</v>
      </c>
      <c r="E11" s="18" t="str">
        <f t="shared" si="1"/>
        <v>https://stockanalysis.com/stocks/PLD/dividend/</v>
      </c>
      <c r="F11" s="20">
        <f>IFERROR(__xludf.DUMMYFUNCTION("IFERROR(G11/GOOGLEFINANCE(A11,""price""),""0.00%"")"),0.028749136143745684)</f>
        <v>0.02874913614</v>
      </c>
      <c r="G11" s="21">
        <v>4.16</v>
      </c>
      <c r="H11" s="20">
        <v>0.0558</v>
      </c>
      <c r="I11" s="20">
        <v>1.0476</v>
      </c>
      <c r="J11" s="22">
        <v>12.0</v>
      </c>
      <c r="K11" s="23">
        <v>0.0</v>
      </c>
      <c r="L11" s="32">
        <v>6.27</v>
      </c>
      <c r="M11" s="23">
        <f t="shared" si="2"/>
        <v>0.663476874</v>
      </c>
    </row>
    <row r="12">
      <c r="A12" s="11" t="s">
        <v>63</v>
      </c>
      <c r="B12" s="11" t="s">
        <v>41</v>
      </c>
      <c r="C12" s="11" t="s">
        <v>64</v>
      </c>
      <c r="D12" s="11" t="s">
        <v>30</v>
      </c>
      <c r="E12" s="18" t="str">
        <f t="shared" si="1"/>
        <v>https://stockanalysis.com/stocks/MA/dividend/</v>
      </c>
      <c r="F12" s="20">
        <f>IFERROR(__xludf.DUMMYFUNCTION("IFERROR(G12/GOOGLEFINANCE(A12,""price""),""0.00%"")"),0.006128049926688973)</f>
        <v>0.006128049927</v>
      </c>
      <c r="G12" s="21">
        <v>3.26</v>
      </c>
      <c r="H12" s="20">
        <v>0.1463</v>
      </c>
      <c r="I12" s="20">
        <v>0.195</v>
      </c>
      <c r="J12" s="22">
        <v>14.0</v>
      </c>
      <c r="K12" s="23">
        <v>0.0</v>
      </c>
      <c r="L12" s="24"/>
      <c r="M12" s="24"/>
    </row>
    <row r="13">
      <c r="A13" s="11" t="s">
        <v>65</v>
      </c>
      <c r="B13" s="11" t="s">
        <v>28</v>
      </c>
      <c r="C13" s="11" t="s">
        <v>66</v>
      </c>
      <c r="D13" s="11" t="s">
        <v>30</v>
      </c>
      <c r="E13" s="18" t="str">
        <f t="shared" si="1"/>
        <v>https://stockanalysis.com/stocks/AAPL/dividend/</v>
      </c>
      <c r="F13" s="20">
        <f>IFERROR(__xludf.DUMMYFUNCTION("IFERROR(G13/GOOGLEFINANCE(A13,""price""),""0.00%"")"),0.003191260854889687)</f>
        <v>0.003191260855</v>
      </c>
      <c r="G13" s="21">
        <v>1.04</v>
      </c>
      <c r="H13" s="20">
        <v>0.0396</v>
      </c>
      <c r="I13" s="20">
        <v>0.1273</v>
      </c>
      <c r="J13" s="22">
        <v>14.0</v>
      </c>
      <c r="K13" s="23">
        <v>0.0</v>
      </c>
      <c r="L13" s="24"/>
      <c r="M13" s="24"/>
    </row>
    <row r="14">
      <c r="A14" s="11" t="s">
        <v>69</v>
      </c>
      <c r="B14" s="11" t="s">
        <v>47</v>
      </c>
      <c r="C14" s="11" t="s">
        <v>45</v>
      </c>
      <c r="D14" s="11" t="s">
        <v>30</v>
      </c>
      <c r="E14" s="18" t="str">
        <f t="shared" si="1"/>
        <v>https://stockanalysis.com/stocks/AVGO/dividend/</v>
      </c>
      <c r="F14" s="20">
        <f>IFERROR(__xludf.DUMMYFUNCTION("IFERROR(G14/GOOGLEFINANCE(A14,""price""),""0.00%"")"),0.0064010483606763945)</f>
        <v>0.006401048361</v>
      </c>
      <c r="G14" s="21">
        <v>2.54</v>
      </c>
      <c r="H14" s="20">
        <v>0.1043</v>
      </c>
      <c r="I14" s="20">
        <v>0.4227</v>
      </c>
      <c r="J14" s="22">
        <v>15.0</v>
      </c>
      <c r="K14" s="23">
        <v>0.0</v>
      </c>
      <c r="L14" s="24"/>
      <c r="M14" s="24"/>
    </row>
    <row r="15">
      <c r="A15" s="11" t="s">
        <v>70</v>
      </c>
      <c r="B15" s="11" t="s">
        <v>41</v>
      </c>
      <c r="C15" s="11" t="s">
        <v>64</v>
      </c>
      <c r="D15" s="11" t="s">
        <v>30</v>
      </c>
      <c r="E15" s="18" t="str">
        <f t="shared" si="1"/>
        <v>https://stockanalysis.com/stocks/JPM/dividend/</v>
      </c>
      <c r="F15" s="20">
        <f>IFERROR(__xludf.DUMMYFUNCTION("IFERROR(G15/GOOGLEFINANCE(A15,""price""),""0.00%"")"),0.017230981304385287)</f>
        <v>0.0172309813</v>
      </c>
      <c r="G15" s="21">
        <v>6.0</v>
      </c>
      <c r="H15" s="20">
        <v>0.1321</v>
      </c>
      <c r="I15" s="20">
        <v>0.2874</v>
      </c>
      <c r="J15" s="22">
        <v>15.0</v>
      </c>
      <c r="K15" s="23">
        <v>0.0</v>
      </c>
      <c r="L15" s="24"/>
      <c r="M15" s="24"/>
    </row>
    <row r="16">
      <c r="A16" s="11" t="s">
        <v>71</v>
      </c>
      <c r="B16" s="11" t="s">
        <v>41</v>
      </c>
      <c r="C16" s="11" t="s">
        <v>72</v>
      </c>
      <c r="D16" s="11" t="s">
        <v>30</v>
      </c>
      <c r="E16" s="18" t="str">
        <f t="shared" si="1"/>
        <v>https://stockanalysis.com/stocks/UNH/dividend/</v>
      </c>
      <c r="F16" s="20">
        <f>IFERROR(__xludf.DUMMYFUNCTION("IFERROR(G16/GOOGLEFINANCE(A16,""price""),""0.00%"")"),0.02049569914910389)</f>
        <v>0.02049569915</v>
      </c>
      <c r="G16" s="21">
        <v>8.84</v>
      </c>
      <c r="H16" s="20">
        <v>0.0517</v>
      </c>
      <c r="I16" s="20">
        <v>0.6755</v>
      </c>
      <c r="J16" s="22">
        <v>16.0</v>
      </c>
      <c r="K16" s="23">
        <v>0.0</v>
      </c>
      <c r="L16" s="24"/>
      <c r="M16" s="24"/>
    </row>
    <row r="17">
      <c r="A17" s="11" t="s">
        <v>73</v>
      </c>
      <c r="B17" s="11" t="s">
        <v>41</v>
      </c>
      <c r="C17" s="11" t="s">
        <v>64</v>
      </c>
      <c r="D17" s="11" t="s">
        <v>30</v>
      </c>
      <c r="E17" s="18" t="str">
        <f t="shared" si="1"/>
        <v>https://stockanalysis.com/stocks/V/dividend/</v>
      </c>
      <c r="F17" s="20">
        <f>IFERROR(__xludf.DUMMYFUNCTION("IFERROR(G17/GOOGLEFINANCE(A17,""price""),""0.00%"")"),0.007583045668043687)</f>
        <v>0.007583045668</v>
      </c>
      <c r="G17" s="21">
        <v>2.68</v>
      </c>
      <c r="H17" s="20">
        <v>0.2267</v>
      </c>
      <c r="I17" s="20">
        <v>0.1354</v>
      </c>
      <c r="J17" s="22">
        <v>17.0</v>
      </c>
      <c r="K17" s="23">
        <v>0.0</v>
      </c>
      <c r="L17" s="24"/>
      <c r="M17" s="24"/>
    </row>
    <row r="18">
      <c r="A18" s="11" t="s">
        <v>74</v>
      </c>
      <c r="B18" s="11" t="s">
        <v>41</v>
      </c>
      <c r="C18" s="11" t="s">
        <v>53</v>
      </c>
      <c r="D18" s="11" t="s">
        <v>30</v>
      </c>
      <c r="E18" s="18" t="str">
        <f t="shared" si="1"/>
        <v>https://stockanalysis.com/stocks/PM/dividend/</v>
      </c>
      <c r="F18" s="20">
        <f>IFERROR(__xludf.DUMMYFUNCTION("IFERROR(G18/GOOGLEFINANCE(A18,""price""),""0.00%"")"),0.029644879053010807)</f>
        <v>0.02964487905</v>
      </c>
      <c r="G18" s="21">
        <v>5.76</v>
      </c>
      <c r="H18" s="20">
        <v>0.0889</v>
      </c>
      <c r="I18" s="20">
        <v>0.8282</v>
      </c>
      <c r="J18" s="22">
        <v>17.0</v>
      </c>
      <c r="K18" s="23">
        <v>0.0</v>
      </c>
      <c r="L18" s="24"/>
      <c r="M18" s="24"/>
    </row>
    <row r="19">
      <c r="A19" s="11" t="s">
        <v>75</v>
      </c>
      <c r="B19" s="11" t="s">
        <v>28</v>
      </c>
      <c r="C19" s="11" t="s">
        <v>66</v>
      </c>
      <c r="D19" s="11" t="s">
        <v>30</v>
      </c>
      <c r="E19" s="18" t="str">
        <f t="shared" si="1"/>
        <v>https://stockanalysis.com/stocks/MSFT/dividend/</v>
      </c>
      <c r="F19" s="20">
        <f>IFERROR(__xludf.DUMMYFUNCTION("IFERROR(G19/GOOGLEFINANCE(A19,""price""),""0.00%"")"),0.00686580929446124)</f>
        <v>0.006865809294</v>
      </c>
      <c r="G19" s="21">
        <v>2.68</v>
      </c>
      <c r="H19" s="20">
        <v>0.0964</v>
      </c>
      <c r="I19" s="20">
        <v>0.2168</v>
      </c>
      <c r="J19" s="22">
        <v>20.0</v>
      </c>
      <c r="K19" s="23">
        <v>0.0</v>
      </c>
      <c r="L19" s="24"/>
      <c r="M19" s="24"/>
    </row>
    <row r="20">
      <c r="A20" s="11" t="s">
        <v>76</v>
      </c>
      <c r="B20" s="11" t="s">
        <v>56</v>
      </c>
      <c r="C20" s="11" t="s">
        <v>59</v>
      </c>
      <c r="D20" s="11" t="s">
        <v>30</v>
      </c>
      <c r="E20" s="18" t="str">
        <f t="shared" si="1"/>
        <v>https://stockanalysis.com/stocks/O/dividend/</v>
      </c>
      <c r="F20" s="20">
        <f>IFERROR(__xludf.DUMMYFUNCTION("IFERROR(G20/GOOGLEFINANCE(A20,""price""),""0.00%"")"),0.049730893433799786)</f>
        <v>0.04973089343</v>
      </c>
      <c r="G20" s="21">
        <v>3.234</v>
      </c>
      <c r="H20" s="20">
        <v>0.015</v>
      </c>
      <c r="I20" s="20">
        <v>2.656</v>
      </c>
      <c r="J20" s="22">
        <v>22.0</v>
      </c>
      <c r="K20" s="23">
        <v>0.0</v>
      </c>
      <c r="L20" s="38">
        <v>4.43</v>
      </c>
      <c r="M20" s="23">
        <f>3.25/L20</f>
        <v>0.7336343115</v>
      </c>
    </row>
    <row r="21">
      <c r="A21" s="11" t="s">
        <v>77</v>
      </c>
      <c r="B21" s="11" t="s">
        <v>47</v>
      </c>
      <c r="C21" s="11" t="s">
        <v>66</v>
      </c>
      <c r="D21" s="11" t="s">
        <v>30</v>
      </c>
      <c r="E21" s="18" t="str">
        <f t="shared" si="1"/>
        <v>https://stockanalysis.com/stocks/IBM/dividend/</v>
      </c>
      <c r="F21" s="20">
        <f>IFERROR(__xludf.DUMMYFUNCTION("IFERROR(G21/GOOGLEFINANCE(A21,""price""),""0.00%"")"),0.03285221363658453)</f>
        <v>0.03285221364</v>
      </c>
      <c r="G21" s="35">
        <v>6.76</v>
      </c>
      <c r="H21" s="20">
        <v>0.006</v>
      </c>
      <c r="I21" s="20">
        <v>0.595</v>
      </c>
      <c r="J21" s="22">
        <v>30.0</v>
      </c>
      <c r="K21" s="23">
        <v>0.0</v>
      </c>
      <c r="L21" s="24"/>
      <c r="M21" s="24"/>
    </row>
    <row r="22">
      <c r="A22" s="11" t="s">
        <v>80</v>
      </c>
      <c r="B22" s="11" t="s">
        <v>56</v>
      </c>
      <c r="C22" s="11" t="s">
        <v>59</v>
      </c>
      <c r="D22" s="11" t="s">
        <v>30</v>
      </c>
      <c r="E22" s="18" t="str">
        <f t="shared" si="1"/>
        <v>https://stockanalysis.com/stocks/NNN/dividend/</v>
      </c>
      <c r="F22" s="20">
        <f>IFERROR(__xludf.DUMMYFUNCTION("IFERROR(G22/GOOGLEFINANCE(A22,""price""),""0.00%"")"),0.04900959771288544)</f>
        <v>0.04900959771</v>
      </c>
      <c r="G22" s="35">
        <v>2.4</v>
      </c>
      <c r="H22" s="20">
        <v>0.0345</v>
      </c>
      <c r="I22" s="20">
        <v>1.1682</v>
      </c>
      <c r="J22" s="22">
        <v>37.0</v>
      </c>
      <c r="K22" s="23">
        <v>0.0</v>
      </c>
      <c r="L22" s="38">
        <v>3.57</v>
      </c>
      <c r="M22" s="23">
        <f>2.4/L22</f>
        <v>0.6722689076</v>
      </c>
    </row>
    <row r="23">
      <c r="A23" s="11" t="s">
        <v>81</v>
      </c>
      <c r="B23" s="11" t="s">
        <v>41</v>
      </c>
      <c r="C23" s="11" t="s">
        <v>51</v>
      </c>
      <c r="D23" s="11" t="s">
        <v>30</v>
      </c>
      <c r="E23" s="18" t="str">
        <f t="shared" si="1"/>
        <v>https://stockanalysis.com/stocks/CVX/dividend/</v>
      </c>
      <c r="F23" s="20">
        <f>IFERROR(__xludf.DUMMYFUNCTION("IFERROR(G23/GOOGLEFINANCE(A23,""price""),""0.00%"")"),0.036895015027463986)</f>
        <v>0.03689501503</v>
      </c>
      <c r="G23" s="35">
        <v>7.12</v>
      </c>
      <c r="H23" s="20">
        <v>0.0449</v>
      </c>
      <c r="I23" s="20">
        <v>1.2142</v>
      </c>
      <c r="J23" s="22">
        <v>39.0</v>
      </c>
      <c r="K23" s="23">
        <v>0.0</v>
      </c>
      <c r="L23" s="24"/>
      <c r="M23" s="24"/>
    </row>
    <row r="24">
      <c r="A24" s="11" t="s">
        <v>82</v>
      </c>
      <c r="B24" s="11" t="s">
        <v>83</v>
      </c>
      <c r="C24" s="11" t="s">
        <v>64</v>
      </c>
      <c r="D24" s="11" t="s">
        <v>30</v>
      </c>
      <c r="E24" s="18" t="str">
        <f t="shared" si="1"/>
        <v>https://stockanalysis.com/stocks/SPGI/dividend/</v>
      </c>
      <c r="F24" s="20">
        <f>IFERROR(__xludf.DUMMYFUNCTION("IFERROR(G24/GOOGLEFINANCE(A24,""price""),""0.00%"")"),0.009043024285647695)</f>
        <v>0.009043024286</v>
      </c>
      <c r="G24" s="35">
        <v>3.88</v>
      </c>
      <c r="H24" s="20">
        <v>0.0211</v>
      </c>
      <c r="I24" s="20">
        <v>0.245</v>
      </c>
      <c r="J24" s="22">
        <v>53.0</v>
      </c>
      <c r="K24" s="23">
        <v>0.0</v>
      </c>
      <c r="L24" s="24"/>
      <c r="M24" s="24"/>
    </row>
    <row r="25">
      <c r="A25" s="11" t="s">
        <v>84</v>
      </c>
      <c r="B25" s="11" t="s">
        <v>41</v>
      </c>
      <c r="C25" s="11" t="s">
        <v>72</v>
      </c>
      <c r="D25" s="11" t="s">
        <v>30</v>
      </c>
      <c r="E25" s="18" t="str">
        <f t="shared" si="1"/>
        <v>https://stockanalysis.com/stocks/ABBV/dividend/</v>
      </c>
      <c r="F25" s="20">
        <f>IFERROR(__xludf.DUMMYFUNCTION("IFERROR(G25/GOOGLEFINANCE(A25,""price""),""0.00%"")"),0.027319384129490722)</f>
        <v>0.02731938413</v>
      </c>
      <c r="G25" s="35">
        <v>6.92</v>
      </c>
      <c r="H25" s="20">
        <v>0.0556</v>
      </c>
      <c r="I25" s="20">
        <v>3.3644</v>
      </c>
      <c r="J25" s="22">
        <v>54.0</v>
      </c>
      <c r="K25" s="23">
        <v>0.0</v>
      </c>
      <c r="L25" s="24"/>
      <c r="M25" s="24"/>
    </row>
    <row r="26">
      <c r="A26" s="11" t="s">
        <v>86</v>
      </c>
      <c r="B26" s="11" t="s">
        <v>41</v>
      </c>
      <c r="C26" s="11" t="s">
        <v>72</v>
      </c>
      <c r="D26" s="11" t="s">
        <v>30</v>
      </c>
      <c r="E26" s="18" t="str">
        <f t="shared" si="1"/>
        <v>https://stockanalysis.com/stocks/ABT/dividend/</v>
      </c>
      <c r="F26" s="20">
        <f>IFERROR(__xludf.DUMMYFUNCTION("IFERROR(G26/GOOGLEFINANCE(A26,""price""),""0.00%"")"),0.025057174107586757)</f>
        <v>0.02505717411</v>
      </c>
      <c r="G26" s="35">
        <v>2.52</v>
      </c>
      <c r="H26" s="20">
        <v>0.069</v>
      </c>
      <c r="I26" s="20">
        <v>0.6947</v>
      </c>
      <c r="J26" s="22">
        <v>54.0</v>
      </c>
      <c r="K26" s="23">
        <v>0.0</v>
      </c>
      <c r="L26" s="24"/>
      <c r="M26" s="24"/>
    </row>
    <row r="27">
      <c r="A27" s="11" t="s">
        <v>37</v>
      </c>
      <c r="B27" s="11" t="s">
        <v>38</v>
      </c>
      <c r="C27" s="11" t="s">
        <v>38</v>
      </c>
      <c r="D27" s="11" t="s">
        <v>43</v>
      </c>
      <c r="E27" s="18" t="str">
        <f t="shared" si="1"/>
        <v>https://stockanalysis.com/quote/mutf/FXAIX/dividend/</v>
      </c>
      <c r="F27" s="20">
        <f>IFERROR(__xludf.DUMMYFUNCTION("IFERROR(G27/GOOGLEFINANCE(A27,""price""),""0.00%"")"),0.010575117820606153)</f>
        <v>0.01057511782</v>
      </c>
      <c r="G27" s="35">
        <v>2.76</v>
      </c>
      <c r="H27" s="20">
        <v>0.051</v>
      </c>
      <c r="I27" s="11"/>
      <c r="J27" s="40"/>
      <c r="K27" s="23">
        <v>1.5E-4</v>
      </c>
      <c r="L27" s="24"/>
      <c r="M27" s="24"/>
    </row>
    <row r="28">
      <c r="A28" s="11" t="s">
        <v>89</v>
      </c>
      <c r="B28" s="11" t="s">
        <v>90</v>
      </c>
      <c r="C28" s="11" t="s">
        <v>91</v>
      </c>
      <c r="D28" s="11" t="s">
        <v>48</v>
      </c>
      <c r="E28" s="18" t="str">
        <f t="shared" si="1"/>
        <v>https://stockanalysis.com/etf/VEA/dividend/</v>
      </c>
      <c r="F28" s="20">
        <f>IFERROR(__xludf.DUMMYFUNCTION("IFERROR(G28/GOOGLEFINANCE(A28,""price""),""0.00%"")"),0.0256774010497943)</f>
        <v>0.02567740105</v>
      </c>
      <c r="G28" s="35">
        <v>1.81</v>
      </c>
      <c r="H28" s="20">
        <v>0.1772</v>
      </c>
      <c r="I28" s="20">
        <v>0.4613</v>
      </c>
      <c r="J28" s="40"/>
      <c r="K28" s="23">
        <v>3.0E-4</v>
      </c>
      <c r="L28" s="24"/>
      <c r="M28" s="24"/>
    </row>
    <row r="29">
      <c r="A29" s="11" t="s">
        <v>92</v>
      </c>
      <c r="B29" s="11" t="s">
        <v>47</v>
      </c>
      <c r="C29" s="11" t="s">
        <v>45</v>
      </c>
      <c r="D29" s="11" t="s">
        <v>30</v>
      </c>
      <c r="E29" s="18" t="str">
        <f t="shared" si="1"/>
        <v>https://stockanalysis.com/stocks/MU/dividend/</v>
      </c>
      <c r="F29" s="20">
        <f>IFERROR(__xludf.DUMMYFUNCTION("IFERROR(G29/GOOGLEFINANCE(A29,""price""),""0.00%"")"),0.0027931796389711093)</f>
        <v>0.002793179639</v>
      </c>
      <c r="G29" s="35">
        <v>2.68</v>
      </c>
      <c r="H29" s="20">
        <v>0.1522</v>
      </c>
      <c r="I29" s="20">
        <v>0.012</v>
      </c>
      <c r="J29" s="40"/>
      <c r="K29" s="23">
        <v>0.0</v>
      </c>
      <c r="L29" s="24"/>
      <c r="M29" s="24"/>
    </row>
    <row r="30">
      <c r="A30" s="11" t="s">
        <v>88</v>
      </c>
      <c r="B30" s="11" t="s">
        <v>93</v>
      </c>
      <c r="C30" s="11" t="s">
        <v>94</v>
      </c>
      <c r="D30" s="11" t="s">
        <v>48</v>
      </c>
      <c r="E30" s="18" t="str">
        <f t="shared" si="1"/>
        <v>https://stockanalysis.com/etf/QTUM/dividend/</v>
      </c>
      <c r="F30" s="20">
        <f>IFERROR(__xludf.DUMMYFUNCTION("IFERROR(G30/GOOGLEFINANCE(A30,""price""),""0.00%"")"),0.008147483256231443)</f>
        <v>0.008147483256</v>
      </c>
      <c r="G30" s="35">
        <v>1.18</v>
      </c>
      <c r="H30" s="20">
        <v>0.9109</v>
      </c>
      <c r="I30" s="20">
        <v>0.2822</v>
      </c>
      <c r="J30" s="40"/>
      <c r="K30" s="23">
        <v>0.004</v>
      </c>
      <c r="L30" s="24"/>
      <c r="M30" s="24"/>
    </row>
    <row r="31">
      <c r="A31" s="11" t="s">
        <v>95</v>
      </c>
      <c r="B31" s="11" t="s">
        <v>28</v>
      </c>
      <c r="C31" s="11" t="s">
        <v>66</v>
      </c>
      <c r="D31" s="11" t="s">
        <v>30</v>
      </c>
      <c r="E31" s="18" t="str">
        <f t="shared" si="1"/>
        <v>https://stockanalysis.com/stocks/AMZN/dividend/</v>
      </c>
      <c r="F31" s="20">
        <f>IFERROR(__xludf.DUMMYFUNCTION("IFERROR(G31/GOOGLEFINANCE(A31,""price""),""0.00%"")"),0.0)</f>
        <v>0</v>
      </c>
      <c r="G31" s="35">
        <v>0.0</v>
      </c>
      <c r="H31" s="20">
        <v>0.0</v>
      </c>
      <c r="I31" s="20">
        <v>0.0</v>
      </c>
      <c r="J31" s="40"/>
      <c r="K31" s="23">
        <v>0.0</v>
      </c>
      <c r="L31" s="24"/>
      <c r="M31" s="24"/>
    </row>
    <row r="32">
      <c r="A32" s="11" t="s">
        <v>96</v>
      </c>
      <c r="B32" s="11" t="s">
        <v>28</v>
      </c>
      <c r="C32" s="11" t="s">
        <v>29</v>
      </c>
      <c r="D32" s="11" t="s">
        <v>30</v>
      </c>
      <c r="E32" s="18" t="str">
        <f t="shared" si="1"/>
        <v>https://stockanalysis.com/stocks/GOOGL/dividend/</v>
      </c>
      <c r="F32" s="20">
        <f>IFERROR(__xludf.DUMMYFUNCTION("IFERROR(G32/GOOGLEFINANCE(A32,""price""),""0.00%"")"),0.0025724224619252246)</f>
        <v>0.002572422462</v>
      </c>
      <c r="G32" s="35">
        <v>0.88</v>
      </c>
      <c r="H32" s="20">
        <v>0.0494</v>
      </c>
      <c r="I32" s="20">
        <v>0.0648</v>
      </c>
      <c r="J32" s="40"/>
      <c r="K32" s="23">
        <v>0.0</v>
      </c>
      <c r="L32" s="24"/>
      <c r="M32" s="24"/>
    </row>
    <row r="33">
      <c r="A33" s="11" t="s">
        <v>97</v>
      </c>
      <c r="B33" s="11" t="s">
        <v>98</v>
      </c>
      <c r="C33" s="11" t="s">
        <v>22</v>
      </c>
      <c r="D33" s="11" t="s">
        <v>48</v>
      </c>
      <c r="E33" s="18" t="str">
        <f t="shared" si="1"/>
        <v>https://stockanalysis.com/etf/SCHD/dividend/</v>
      </c>
      <c r="F33" s="20">
        <f>IFERROR(__xludf.DUMMYFUNCTION("IFERROR(G33/GOOGLEFINANCE(A33,""price""),""0.00%"")"),0.03191489361702128)</f>
        <v>0.03191489362</v>
      </c>
      <c r="G33" s="35">
        <v>1.05</v>
      </c>
      <c r="H33" s="20">
        <v>0.0224</v>
      </c>
      <c r="I33" s="20">
        <v>0.5558</v>
      </c>
      <c r="J33" s="40"/>
      <c r="K33" s="23">
        <v>6.0E-4</v>
      </c>
      <c r="L33" s="24"/>
      <c r="M33" s="24"/>
    </row>
    <row r="34">
      <c r="A34" s="11" t="s">
        <v>99</v>
      </c>
      <c r="B34" s="11" t="s">
        <v>100</v>
      </c>
      <c r="C34" s="11" t="s">
        <v>100</v>
      </c>
      <c r="D34" s="11" t="s">
        <v>30</v>
      </c>
      <c r="E34" s="18" t="str">
        <f t="shared" si="1"/>
        <v>https://stockanalysis.com/stocks/PLTR/dividend/</v>
      </c>
      <c r="F34" s="20">
        <f>IFERROR(__xludf.DUMMYFUNCTION("IFERROR(G34/GOOGLEFINANCE(A34,""price""),""0.00%"")"),0.0)</f>
        <v>0</v>
      </c>
      <c r="G34" s="35">
        <v>0.0</v>
      </c>
      <c r="H34" s="20">
        <v>0.0</v>
      </c>
      <c r="I34" s="20">
        <v>0.0</v>
      </c>
      <c r="J34" s="40"/>
      <c r="K34" s="23">
        <v>0.0</v>
      </c>
      <c r="L34" s="24"/>
      <c r="M34" s="24"/>
    </row>
    <row r="35">
      <c r="A35" s="11" t="s">
        <v>101</v>
      </c>
      <c r="B35" s="11" t="s">
        <v>38</v>
      </c>
      <c r="C35" s="11" t="s">
        <v>38</v>
      </c>
      <c r="D35" s="11" t="s">
        <v>48</v>
      </c>
      <c r="E35" s="18" t="str">
        <f t="shared" si="1"/>
        <v>https://stockanalysis.com/etf/VOO/dividend/</v>
      </c>
      <c r="F35" s="20">
        <f>IFERROR(__xludf.DUMMYFUNCTION("IFERROR(G35/GOOGLEFINANCE(A35,""price""),""0.00%"")"),0.010698222785031221)</f>
        <v>0.01069822279</v>
      </c>
      <c r="G35" s="35">
        <v>7.35</v>
      </c>
      <c r="H35" s="20">
        <v>0.0594</v>
      </c>
      <c r="I35" s="20">
        <v>0.2988</v>
      </c>
      <c r="J35" s="40"/>
      <c r="K35" s="23">
        <v>3.0E-4</v>
      </c>
      <c r="L35" s="24"/>
      <c r="M35" s="24"/>
    </row>
    <row r="36">
      <c r="A36" s="11" t="s">
        <v>103</v>
      </c>
      <c r="B36" s="11" t="s">
        <v>104</v>
      </c>
      <c r="C36" s="11" t="s">
        <v>105</v>
      </c>
      <c r="D36" s="11" t="s">
        <v>30</v>
      </c>
      <c r="E36" s="18" t="str">
        <f t="shared" si="1"/>
        <v>https://stockanalysis.com/stocks/RKLB/dividend/</v>
      </c>
      <c r="F36" s="20">
        <f>IFERROR(__xludf.DUMMYFUNCTION("IFERROR(G36/GOOGLEFINANCE(A36,""price""),""0.00%"")"),0.0)</f>
        <v>0</v>
      </c>
      <c r="G36" s="35">
        <v>0.0</v>
      </c>
      <c r="H36" s="20">
        <v>0.0</v>
      </c>
      <c r="I36" s="20">
        <v>0.0</v>
      </c>
      <c r="J36" s="40"/>
      <c r="K36" s="23">
        <v>0.0</v>
      </c>
      <c r="L36" s="24"/>
      <c r="M36" s="24"/>
    </row>
    <row r="37">
      <c r="A37" s="11" t="s">
        <v>68</v>
      </c>
      <c r="B37" s="11" t="s">
        <v>93</v>
      </c>
      <c r="C37" s="11" t="s">
        <v>67</v>
      </c>
      <c r="D37" s="11" t="s">
        <v>48</v>
      </c>
      <c r="E37" s="18" t="str">
        <f t="shared" si="1"/>
        <v>https://stockanalysis.com/etf/QQQM/dividend/</v>
      </c>
      <c r="F37" s="20">
        <f>IFERROR(__xludf.DUMMYFUNCTION("IFERROR(G37/GOOGLEFINANCE(A37,""price""),""0.00%"")"),0.004510708628882309)</f>
        <v>0.004510708629</v>
      </c>
      <c r="G37" s="35">
        <v>1.31</v>
      </c>
      <c r="H37" s="20">
        <v>0.0494</v>
      </c>
      <c r="I37" s="20">
        <v>0.1604</v>
      </c>
      <c r="J37" s="40"/>
      <c r="K37" s="23">
        <v>0.0015</v>
      </c>
      <c r="L37" s="24"/>
      <c r="M37" s="24"/>
    </row>
    <row r="38">
      <c r="A38" s="11" t="s">
        <v>107</v>
      </c>
      <c r="B38" s="11" t="s">
        <v>90</v>
      </c>
      <c r="C38" s="11" t="s">
        <v>108</v>
      </c>
      <c r="D38" s="11" t="s">
        <v>48</v>
      </c>
      <c r="E38" s="18" t="str">
        <f t="shared" si="1"/>
        <v>https://stockanalysis.com/etf/VWO/dividend/</v>
      </c>
      <c r="F38" s="20">
        <f>IFERROR(__xludf.DUMMYFUNCTION("IFERROR(G38/GOOGLEFINANCE(A38,""price""),""0.00%"")"),0.023465397041319502)</f>
        <v>0.02346539704</v>
      </c>
      <c r="G38" s="35">
        <v>1.38</v>
      </c>
      <c r="H38" s="20">
        <v>-0.0017</v>
      </c>
      <c r="I38" s="20">
        <v>0.3979</v>
      </c>
      <c r="J38" s="40"/>
      <c r="K38" s="23">
        <v>6.0E-4</v>
      </c>
      <c r="L38" s="24"/>
      <c r="M38" s="24"/>
    </row>
    <row r="39">
      <c r="A39" s="11" t="s">
        <v>109</v>
      </c>
      <c r="B39" s="11" t="s">
        <v>47</v>
      </c>
      <c r="C39" s="11" t="s">
        <v>94</v>
      </c>
      <c r="D39" s="11" t="s">
        <v>30</v>
      </c>
      <c r="E39" s="18" t="str">
        <f t="shared" si="1"/>
        <v>https://stockanalysis.com/stocks/IONQ/dividend/</v>
      </c>
      <c r="F39" s="20">
        <f>IFERROR(__xludf.DUMMYFUNCTION("IFERROR(G39/GOOGLEFINANCE(A39,""price""),""0.00%"")"),0.0)</f>
        <v>0</v>
      </c>
      <c r="G39" s="35">
        <v>0.0</v>
      </c>
      <c r="H39" s="20">
        <v>0.0</v>
      </c>
      <c r="I39" s="20">
        <v>0.0</v>
      </c>
      <c r="J39" s="40"/>
      <c r="K39" s="23">
        <v>0.0</v>
      </c>
      <c r="L39" s="24"/>
      <c r="M39" s="24"/>
    </row>
    <row r="40">
      <c r="A40" s="11" t="s">
        <v>79</v>
      </c>
      <c r="B40" s="11" t="s">
        <v>93</v>
      </c>
      <c r="C40" s="11" t="s">
        <v>66</v>
      </c>
      <c r="D40" s="11" t="s">
        <v>48</v>
      </c>
      <c r="E40" s="18" t="str">
        <f t="shared" si="1"/>
        <v>https://stockanalysis.com/etf/VGT/dividend/</v>
      </c>
      <c r="F40" s="20">
        <f>IFERROR(__xludf.DUMMYFUNCTION("IFERROR(G40/GOOGLEFINANCE(A40,""price""),""0.00%"")"),0.003719079743988929)</f>
        <v>0.003719079744</v>
      </c>
      <c r="G40" s="35">
        <v>0.43</v>
      </c>
      <c r="H40" s="20">
        <v>0.109</v>
      </c>
      <c r="I40" s="20">
        <v>0.1506</v>
      </c>
      <c r="J40" s="40"/>
      <c r="K40" s="23">
        <v>9.0E-4</v>
      </c>
      <c r="L40" s="24"/>
      <c r="M40" s="24"/>
    </row>
    <row r="41">
      <c r="A41" s="11" t="s">
        <v>110</v>
      </c>
      <c r="B41" s="11" t="s">
        <v>47</v>
      </c>
      <c r="C41" s="11" t="s">
        <v>45</v>
      </c>
      <c r="D41" s="11" t="s">
        <v>30</v>
      </c>
      <c r="E41" s="18" t="str">
        <f t="shared" si="1"/>
        <v>https://stockanalysis.com/stocks/AMD/dividend/</v>
      </c>
      <c r="F41" s="20">
        <f>IFERROR(__xludf.DUMMYFUNCTION("IFERROR(G41/GOOGLEFINANCE(A41,""price""),""0.00%"")"),0.0)</f>
        <v>0</v>
      </c>
      <c r="G41" s="35">
        <v>0.0</v>
      </c>
      <c r="H41" s="20">
        <v>0.0</v>
      </c>
      <c r="I41" s="20">
        <v>0.0</v>
      </c>
      <c r="J41" s="40"/>
      <c r="K41" s="23">
        <v>0.0</v>
      </c>
      <c r="L41" s="24"/>
      <c r="M41" s="24"/>
    </row>
    <row r="42">
      <c r="A42" s="11" t="s">
        <v>111</v>
      </c>
      <c r="B42" s="11" t="s">
        <v>47</v>
      </c>
      <c r="C42" s="11" t="s">
        <v>94</v>
      </c>
      <c r="D42" s="11" t="s">
        <v>30</v>
      </c>
      <c r="E42" s="18" t="str">
        <f t="shared" si="1"/>
        <v>https://stockanalysis.com/stocks/QBTS/dividend/</v>
      </c>
      <c r="F42" s="20">
        <f>IFERROR(__xludf.DUMMYFUNCTION("IFERROR(G42/GOOGLEFINANCE(A42,""price""),""0.00%"")"),0.0)</f>
        <v>0</v>
      </c>
      <c r="G42" s="35">
        <v>0.0</v>
      </c>
      <c r="H42" s="20">
        <v>0.0</v>
      </c>
      <c r="I42" s="20">
        <v>0.0</v>
      </c>
      <c r="J42" s="40"/>
      <c r="K42" s="23">
        <v>0.0</v>
      </c>
      <c r="L42" s="24"/>
      <c r="M42" s="24"/>
    </row>
    <row r="43">
      <c r="A43" s="11" t="s">
        <v>112</v>
      </c>
      <c r="B43" s="11" t="s">
        <v>113</v>
      </c>
      <c r="C43" s="11" t="s">
        <v>114</v>
      </c>
      <c r="D43" s="11" t="s">
        <v>48</v>
      </c>
      <c r="E43" s="18" t="str">
        <f t="shared" si="1"/>
        <v>https://stockanalysis.com/etf/POWR/dividend/</v>
      </c>
      <c r="F43" s="20">
        <f>IFERROR(__xludf.DUMMYFUNCTION("IFERROR(G43/GOOGLEFINANCE(A43,""price""),""0.00%"")"),0.05613382899628253)</f>
        <v>0.056133829</v>
      </c>
      <c r="G43" s="35">
        <v>1.51</v>
      </c>
      <c r="H43" s="20">
        <v>0.4922</v>
      </c>
      <c r="I43" s="20">
        <v>1.2993</v>
      </c>
      <c r="J43" s="40"/>
      <c r="K43" s="23">
        <v>0.004</v>
      </c>
      <c r="L43" s="24"/>
      <c r="M43" s="24"/>
    </row>
    <row r="44">
      <c r="A44" s="11" t="s">
        <v>115</v>
      </c>
      <c r="B44" s="11" t="s">
        <v>47</v>
      </c>
      <c r="C44" s="11" t="s">
        <v>116</v>
      </c>
      <c r="D44" s="11" t="s">
        <v>30</v>
      </c>
      <c r="E44" s="18" t="str">
        <f t="shared" si="1"/>
        <v>https://stockanalysis.com/stocks/APLD/dividend/</v>
      </c>
      <c r="F44" s="20">
        <f>IFERROR(__xludf.DUMMYFUNCTION("IFERROR(G44/GOOGLEFINANCE(A44,""price""),""0.00%"")"),0.0)</f>
        <v>0</v>
      </c>
      <c r="G44" s="35">
        <v>0.0</v>
      </c>
      <c r="H44" s="20">
        <v>0.0</v>
      </c>
      <c r="I44" s="20">
        <v>0.0</v>
      </c>
      <c r="J44" s="40"/>
      <c r="K44" s="23">
        <v>0.0</v>
      </c>
      <c r="L44" s="24"/>
      <c r="M44" s="24"/>
    </row>
    <row r="45">
      <c r="A45" s="11" t="s">
        <v>118</v>
      </c>
      <c r="B45" s="11" t="s">
        <v>113</v>
      </c>
      <c r="C45" s="11" t="s">
        <v>114</v>
      </c>
      <c r="D45" s="11" t="s">
        <v>48</v>
      </c>
      <c r="E45" s="18" t="str">
        <f t="shared" si="1"/>
        <v>https://stockanalysis.com/etf/UTES/dividend/</v>
      </c>
      <c r="F45" s="20">
        <f>IFERROR(__xludf.DUMMYFUNCTION("IFERROR(G45/GOOGLEFINANCE(A45,""price""),""0.00%"")"),0.014505119453924914)</f>
        <v>0.01450511945</v>
      </c>
      <c r="G45" s="35">
        <v>1.19</v>
      </c>
      <c r="H45" s="20">
        <v>0.2637</v>
      </c>
      <c r="I45" s="20">
        <v>0.4199</v>
      </c>
      <c r="J45" s="40"/>
      <c r="K45" s="23">
        <v>0.0049</v>
      </c>
      <c r="L45" s="24"/>
      <c r="M45" s="24"/>
    </row>
    <row r="46">
      <c r="A46" s="11" t="s">
        <v>119</v>
      </c>
      <c r="B46" s="11" t="s">
        <v>56</v>
      </c>
      <c r="C46" s="11" t="s">
        <v>57</v>
      </c>
      <c r="D46" s="11" t="s">
        <v>30</v>
      </c>
      <c r="E46" s="18" t="str">
        <f t="shared" si="1"/>
        <v>https://stockanalysis.com/stocks/ARCC/dividend/</v>
      </c>
      <c r="F46" s="20">
        <f>IFERROR(__xludf.DUMMYFUNCTION("IFERROR(G46/GOOGLEFINANCE(A46,""price""),""0.00%"")"),0.10180275715800637)</f>
        <v>0.1018027572</v>
      </c>
      <c r="G46" s="35">
        <v>1.92</v>
      </c>
      <c r="H46" s="11"/>
      <c r="I46" s="20">
        <v>1.1846</v>
      </c>
      <c r="J46" s="40"/>
      <c r="K46" s="23">
        <v>0.0</v>
      </c>
      <c r="L46" s="24"/>
      <c r="M46" s="24"/>
    </row>
    <row r="47">
      <c r="A47" s="11" t="s">
        <v>120</v>
      </c>
      <c r="B47" s="11" t="s">
        <v>90</v>
      </c>
      <c r="C47" s="11" t="s">
        <v>108</v>
      </c>
      <c r="D47" s="11" t="s">
        <v>48</v>
      </c>
      <c r="E47" s="18" t="str">
        <f t="shared" si="1"/>
        <v>https://stockanalysis.com/etf/FLMX/dividend/</v>
      </c>
      <c r="F47" s="20">
        <f>IFERROR(__xludf.DUMMYFUNCTION("IFERROR(G47/GOOGLEFINANCE(A47,""price""),""0.00%"")"),0.0380085653104925)</f>
        <v>0.03800856531</v>
      </c>
      <c r="G47" s="35">
        <v>1.42</v>
      </c>
      <c r="H47" s="20">
        <v>0.1577</v>
      </c>
      <c r="I47" s="20">
        <v>0.4654</v>
      </c>
      <c r="J47" s="40"/>
      <c r="K47" s="23">
        <v>0.0019</v>
      </c>
      <c r="L47" s="24"/>
      <c r="M47" s="24"/>
    </row>
    <row r="48">
      <c r="A48" s="11" t="s">
        <v>121</v>
      </c>
      <c r="B48" s="11" t="s">
        <v>47</v>
      </c>
      <c r="C48" s="11" t="s">
        <v>122</v>
      </c>
      <c r="D48" s="11" t="s">
        <v>30</v>
      </c>
      <c r="E48" s="18" t="str">
        <f t="shared" si="1"/>
        <v>https://stockanalysis.com/stocks/AAOI/dividend/</v>
      </c>
      <c r="F48" s="20">
        <f>IFERROR(__xludf.DUMMYFUNCTION("IFERROR(G48/GOOGLEFINANCE(A48,""price""),""0.00%"")"),0.0)</f>
        <v>0</v>
      </c>
      <c r="G48" s="35">
        <v>0.0</v>
      </c>
      <c r="H48" s="20">
        <v>0.0</v>
      </c>
      <c r="I48" s="20">
        <v>0.0</v>
      </c>
      <c r="J48" s="40"/>
      <c r="K48" s="23">
        <v>0.0</v>
      </c>
      <c r="L48" s="24"/>
      <c r="M48" s="24"/>
    </row>
    <row r="49">
      <c r="A49" s="11" t="s">
        <v>123</v>
      </c>
      <c r="B49" s="11" t="s">
        <v>47</v>
      </c>
      <c r="C49" s="11" t="s">
        <v>45</v>
      </c>
      <c r="D49" s="11" t="s">
        <v>30</v>
      </c>
      <c r="E49" s="18" t="str">
        <f t="shared" si="1"/>
        <v>https://stockanalysis.com/stocks/MRVL/dividend/</v>
      </c>
      <c r="F49" s="20">
        <f>IFERROR(__xludf.DUMMYFUNCTION("IFERROR(G49/GOOGLEFINANCE(A49,""price""),""0.00%"")"),0.0011374946679937436)</f>
        <v>0.001137494668</v>
      </c>
      <c r="G49" s="35">
        <v>0.24</v>
      </c>
      <c r="H49" s="20">
        <v>0.0</v>
      </c>
      <c r="I49" s="20">
        <v>0.0829</v>
      </c>
      <c r="J49" s="40"/>
      <c r="K49" s="23">
        <v>0.0</v>
      </c>
      <c r="L49" s="24"/>
      <c r="M49" s="24"/>
    </row>
    <row r="50">
      <c r="A50" s="11" t="s">
        <v>125</v>
      </c>
      <c r="B50" s="11" t="s">
        <v>100</v>
      </c>
      <c r="C50" s="11" t="s">
        <v>100</v>
      </c>
      <c r="D50" s="11" t="s">
        <v>30</v>
      </c>
      <c r="E50" s="18" t="str">
        <f t="shared" si="1"/>
        <v>https://stockanalysis.com/stocks/NOW/dividend/</v>
      </c>
      <c r="F50" s="20">
        <f>IFERROR(__xludf.DUMMYFUNCTION("IFERROR(G50/GOOGLEFINANCE(A50,""price""),""0.00%"")"),0.0)</f>
        <v>0</v>
      </c>
      <c r="G50" s="35">
        <v>0.0</v>
      </c>
      <c r="H50" s="20">
        <v>0.0</v>
      </c>
      <c r="I50" s="20">
        <v>0.0</v>
      </c>
      <c r="J50" s="40"/>
      <c r="K50" s="23">
        <v>0.0</v>
      </c>
      <c r="L50" s="24"/>
      <c r="M50" s="24"/>
    </row>
    <row r="51">
      <c r="A51" s="11" t="s">
        <v>126</v>
      </c>
      <c r="B51" s="11" t="s">
        <v>47</v>
      </c>
      <c r="C51" s="11" t="s">
        <v>122</v>
      </c>
      <c r="D51" s="11" t="s">
        <v>30</v>
      </c>
      <c r="E51" s="18" t="str">
        <f t="shared" si="1"/>
        <v>https://stockanalysis.com/stocks/LITE/dividend/</v>
      </c>
      <c r="F51" s="20">
        <f>IFERROR(__xludf.DUMMYFUNCTION("IFERROR(G51/GOOGLEFINANCE(A51,""price""),""0.00%"")"),0.0)</f>
        <v>0</v>
      </c>
      <c r="G51" s="35">
        <v>0.0</v>
      </c>
      <c r="H51" s="20">
        <v>0.0</v>
      </c>
      <c r="I51" s="20">
        <v>0.0</v>
      </c>
      <c r="J51" s="40"/>
      <c r="K51" s="23">
        <v>0.0</v>
      </c>
      <c r="L51" s="24"/>
      <c r="M51" s="24"/>
    </row>
    <row r="52">
      <c r="A52" s="11" t="s">
        <v>127</v>
      </c>
      <c r="B52" s="11" t="s">
        <v>47</v>
      </c>
      <c r="C52" s="11" t="s">
        <v>122</v>
      </c>
      <c r="D52" s="11" t="s">
        <v>30</v>
      </c>
      <c r="E52" s="18" t="str">
        <f t="shared" si="1"/>
        <v>https://stockanalysis.com/stocks/GLW/dividend/</v>
      </c>
      <c r="F52" s="20">
        <f>IFERROR(__xludf.DUMMYFUNCTION("IFERROR(G52/GOOGLEFINANCE(A52,""price""),""0.00%"")"),0.007269894846163833)</f>
        <v>0.007269894846</v>
      </c>
      <c r="G52" s="35">
        <v>1.12</v>
      </c>
      <c r="H52" s="20">
        <v>0.0</v>
      </c>
      <c r="I52" s="20">
        <v>0.539</v>
      </c>
      <c r="J52" s="40"/>
      <c r="K52" s="23">
        <v>0.0</v>
      </c>
      <c r="L52" s="24"/>
      <c r="M52" s="24"/>
    </row>
    <row r="53">
      <c r="A53" s="11" t="s">
        <v>128</v>
      </c>
      <c r="B53" s="11" t="s">
        <v>129</v>
      </c>
      <c r="C53" s="11" t="s">
        <v>42</v>
      </c>
      <c r="D53" s="11" t="s">
        <v>30</v>
      </c>
      <c r="E53" s="18" t="str">
        <f t="shared" si="1"/>
        <v>https://stockanalysis.com/stocks/BRK.B/dividend/</v>
      </c>
      <c r="F53" s="20">
        <f>IFERROR(__xludf.DUMMYFUNCTION("IFERROR(G53/GOOGLEFINANCE(A53,""price""),""0.00%"")"),0.0)</f>
        <v>0</v>
      </c>
      <c r="G53" s="35">
        <v>0.0</v>
      </c>
      <c r="H53" s="20">
        <v>0.0</v>
      </c>
      <c r="I53" s="20">
        <v>0.0</v>
      </c>
      <c r="J53" s="40"/>
      <c r="K53" s="23">
        <v>0.0</v>
      </c>
      <c r="L53" s="24"/>
      <c r="M53" s="24"/>
    </row>
    <row r="54">
      <c r="A54" s="11" t="s">
        <v>130</v>
      </c>
      <c r="B54" s="11" t="s">
        <v>47</v>
      </c>
      <c r="C54" s="11" t="s">
        <v>45</v>
      </c>
      <c r="D54" s="11" t="s">
        <v>30</v>
      </c>
      <c r="E54" s="18" t="str">
        <f t="shared" si="1"/>
        <v>https://stockanalysis.com/stocks/TSM/dividend/</v>
      </c>
      <c r="F54" s="20">
        <f>IFERROR(__xludf.DUMMYFUNCTION("IFERROR(G54/GOOGLEFINANCE(A54,""price""),""0.00%"")"),0.006552550984069704)</f>
        <v>0.006552550984</v>
      </c>
      <c r="G54" s="35">
        <v>2.76</v>
      </c>
      <c r="H54" s="20">
        <v>0.2991</v>
      </c>
      <c r="I54" s="20">
        <v>0.24</v>
      </c>
      <c r="J54" s="40"/>
      <c r="K54" s="23">
        <v>0.0</v>
      </c>
      <c r="L54" s="24"/>
      <c r="M54" s="24"/>
    </row>
    <row r="55">
      <c r="A55" s="11" t="s">
        <v>131</v>
      </c>
      <c r="B55" s="11" t="s">
        <v>64</v>
      </c>
      <c r="C55" s="11" t="s">
        <v>64</v>
      </c>
      <c r="D55" s="11" t="s">
        <v>30</v>
      </c>
      <c r="E55" s="18" t="str">
        <f t="shared" si="1"/>
        <v>https://stockanalysis.com/stocks/HOOD/dividend/</v>
      </c>
      <c r="F55" s="20">
        <f>IFERROR(__xludf.DUMMYFUNCTION("IFERROR(G55/GOOGLEFINANCE(A55,""price""),""0.00%"")"),0.0)</f>
        <v>0</v>
      </c>
      <c r="G55" s="35">
        <v>0.0</v>
      </c>
      <c r="H55" s="20">
        <v>0.0</v>
      </c>
      <c r="I55" s="20">
        <v>0.0</v>
      </c>
      <c r="J55" s="40"/>
      <c r="K55" s="23">
        <v>0.0</v>
      </c>
      <c r="L55" s="24"/>
      <c r="M55" s="24"/>
    </row>
    <row r="56">
      <c r="A56" s="11" t="s">
        <v>132</v>
      </c>
      <c r="B56" s="11" t="s">
        <v>47</v>
      </c>
      <c r="C56" s="11" t="s">
        <v>122</v>
      </c>
      <c r="D56" s="11" t="s">
        <v>30</v>
      </c>
      <c r="E56" s="18" t="str">
        <f t="shared" si="1"/>
        <v>https://stockanalysis.com/stocks/COHR/dividend/</v>
      </c>
      <c r="F56" s="20">
        <f>IFERROR(__xludf.DUMMYFUNCTION("IFERROR(G56/GOOGLEFINANCE(A56,""price""),""0.00%"")"),0.0)</f>
        <v>0</v>
      </c>
      <c r="G56" s="35">
        <v>0.0</v>
      </c>
      <c r="H56" s="20">
        <v>0.0</v>
      </c>
      <c r="I56" s="20">
        <v>0.0</v>
      </c>
      <c r="J56" s="40"/>
      <c r="K56" s="23">
        <v>0.0</v>
      </c>
      <c r="L56" s="24"/>
      <c r="M56" s="24"/>
    </row>
    <row r="57">
      <c r="A57" s="11" t="s">
        <v>134</v>
      </c>
      <c r="B57" s="11" t="s">
        <v>135</v>
      </c>
      <c r="C57" s="11" t="s">
        <v>135</v>
      </c>
      <c r="D57" s="11" t="s">
        <v>48</v>
      </c>
      <c r="E57" s="18" t="str">
        <f t="shared" si="1"/>
        <v>https://stockanalysis.com/etf/IJS/dividend/</v>
      </c>
      <c r="F57" s="20">
        <f>IFERROR(__xludf.DUMMYFUNCTION("IFERROR(G57/GOOGLEFINANCE(A57,""price""),""0.00%"")"),0.0131396452295788)</f>
        <v>0.01313964523</v>
      </c>
      <c r="G57" s="35">
        <v>1.8</v>
      </c>
      <c r="H57" s="20">
        <v>-0.0463</v>
      </c>
      <c r="I57" s="20">
        <v>0.2171</v>
      </c>
      <c r="J57" s="40"/>
      <c r="K57" s="23">
        <v>0.0018</v>
      </c>
      <c r="L57" s="24"/>
      <c r="M57" s="24"/>
    </row>
    <row r="58">
      <c r="A58" s="11" t="s">
        <v>136</v>
      </c>
      <c r="B58" s="11" t="s">
        <v>93</v>
      </c>
      <c r="C58" s="11" t="s">
        <v>94</v>
      </c>
      <c r="D58" s="11" t="s">
        <v>48</v>
      </c>
      <c r="E58" s="18" t="str">
        <f t="shared" si="1"/>
        <v>https://stockanalysis.com/etf/WQTM/dividend/</v>
      </c>
      <c r="F58" s="20">
        <f>IFERROR(__xludf.DUMMYFUNCTION("IFERROR(G58/GOOGLEFINANCE(A58,""price""),""0.00%"")"),0.0)</f>
        <v>0</v>
      </c>
      <c r="G58" s="35">
        <v>0.0</v>
      </c>
      <c r="H58" s="20">
        <v>0.0</v>
      </c>
      <c r="I58" s="20">
        <v>0.0</v>
      </c>
      <c r="J58" s="40"/>
      <c r="K58" s="23">
        <v>0.0045</v>
      </c>
      <c r="L58" s="24"/>
      <c r="M58" s="24"/>
    </row>
    <row r="59">
      <c r="A59" s="11" t="s">
        <v>139</v>
      </c>
      <c r="B59" s="11" t="s">
        <v>47</v>
      </c>
      <c r="C59" s="11" t="s">
        <v>45</v>
      </c>
      <c r="D59" s="11" t="s">
        <v>30</v>
      </c>
      <c r="E59" s="18" t="str">
        <f t="shared" si="1"/>
        <v>https://stockanalysis.com/stocks/ARM/dividend/</v>
      </c>
      <c r="F59" s="20">
        <f>IFERROR(__xludf.DUMMYFUNCTION("IFERROR(G59/GOOGLEFINANCE(A59,""price""),""0.00%"")"),0.0)</f>
        <v>0</v>
      </c>
      <c r="G59" s="35">
        <v>0.0</v>
      </c>
      <c r="H59" s="20">
        <v>0.0</v>
      </c>
      <c r="I59" s="20">
        <v>0.0</v>
      </c>
      <c r="J59" s="40"/>
      <c r="K59" s="23">
        <v>0.0</v>
      </c>
      <c r="L59" s="24"/>
      <c r="M59" s="24"/>
    </row>
    <row r="60">
      <c r="A60" s="11" t="s">
        <v>140</v>
      </c>
      <c r="B60" s="11" t="s">
        <v>47</v>
      </c>
      <c r="C60" s="11" t="s">
        <v>45</v>
      </c>
      <c r="D60" s="11" t="s">
        <v>30</v>
      </c>
      <c r="E60" s="18" t="str">
        <f t="shared" si="1"/>
        <v>https://stockanalysis.com/stocks/SNDK/dividend/</v>
      </c>
      <c r="F60" s="20">
        <f>IFERROR(__xludf.DUMMYFUNCTION("IFERROR(G60/GOOGLEFINANCE(A60,""price""),""0.00%"")"),0.0)</f>
        <v>0</v>
      </c>
      <c r="G60" s="35">
        <v>0.0</v>
      </c>
      <c r="H60" s="20">
        <v>0.0</v>
      </c>
      <c r="I60" s="20">
        <v>0.0</v>
      </c>
      <c r="J60" s="40"/>
      <c r="K60" s="23">
        <v>0.0</v>
      </c>
      <c r="L60" s="24"/>
      <c r="M60" s="24"/>
    </row>
    <row r="61">
      <c r="A61" s="11" t="s">
        <v>141</v>
      </c>
      <c r="B61" s="11" t="s">
        <v>104</v>
      </c>
      <c r="C61" s="11" t="s">
        <v>105</v>
      </c>
      <c r="D61" s="11" t="s">
        <v>30</v>
      </c>
      <c r="E61" s="18" t="str">
        <f t="shared" si="1"/>
        <v>https://stockanalysis.com/stocks/RDW/dividend/</v>
      </c>
      <c r="F61" s="20">
        <f>IFERROR(__xludf.DUMMYFUNCTION("IFERROR(G61/GOOGLEFINANCE(A61,""price""),""0.00%"")"),0.0)</f>
        <v>0</v>
      </c>
      <c r="G61" s="35">
        <v>0.0</v>
      </c>
      <c r="H61" s="20">
        <v>0.0</v>
      </c>
      <c r="I61" s="20">
        <v>0.0</v>
      </c>
      <c r="J61" s="40"/>
      <c r="K61" s="23">
        <v>0.0</v>
      </c>
      <c r="L61" s="24"/>
      <c r="M61" s="24"/>
    </row>
    <row r="62">
      <c r="A62" s="11" t="s">
        <v>142</v>
      </c>
      <c r="B62" s="11" t="s">
        <v>47</v>
      </c>
      <c r="C62" s="11" t="s">
        <v>116</v>
      </c>
      <c r="D62" s="11" t="s">
        <v>30</v>
      </c>
      <c r="E62" s="18" t="str">
        <f t="shared" si="1"/>
        <v>https://stockanalysis.com/stocks/NBIS/dividend/</v>
      </c>
      <c r="F62" s="20">
        <f>IFERROR(__xludf.DUMMYFUNCTION("IFERROR(G62/GOOGLEFINANCE(A62,""price""),""0.00%"")"),0.0)</f>
        <v>0</v>
      </c>
      <c r="G62" s="35">
        <v>0.0</v>
      </c>
      <c r="H62" s="20">
        <v>0.0</v>
      </c>
      <c r="I62" s="20">
        <v>0.0</v>
      </c>
      <c r="J62" s="40"/>
      <c r="K62" s="23">
        <v>0.0</v>
      </c>
      <c r="L62" s="24"/>
      <c r="M62" s="24"/>
    </row>
    <row r="63">
      <c r="A63" s="11" t="s">
        <v>143</v>
      </c>
      <c r="B63" s="11" t="s">
        <v>47</v>
      </c>
      <c r="C63" s="11" t="s">
        <v>45</v>
      </c>
      <c r="D63" s="11" t="s">
        <v>30</v>
      </c>
      <c r="E63" s="18" t="str">
        <f t="shared" si="1"/>
        <v>https://stockanalysis.com/stocks/CBRS/dividend/</v>
      </c>
      <c r="F63" s="20">
        <f>IFERROR(__xludf.DUMMYFUNCTION("IFERROR(G63/GOOGLEFINANCE(A63,""price""),""0.00%"")"),0.0)</f>
        <v>0</v>
      </c>
      <c r="G63" s="35">
        <v>0.0</v>
      </c>
      <c r="H63" s="20">
        <v>0.0</v>
      </c>
      <c r="I63" s="20">
        <v>0.0</v>
      </c>
      <c r="J63" s="40"/>
      <c r="K63" s="23">
        <v>0.0</v>
      </c>
      <c r="L63" s="24"/>
      <c r="M63" s="24"/>
    </row>
    <row r="64">
      <c r="A64" s="11" t="s">
        <v>144</v>
      </c>
      <c r="B64" s="11" t="s">
        <v>41</v>
      </c>
      <c r="C64" s="11" t="s">
        <v>145</v>
      </c>
      <c r="D64" s="11" t="s">
        <v>48</v>
      </c>
      <c r="E64" s="18" t="str">
        <f t="shared" si="1"/>
        <v>https://stockanalysis.com/etf/QQQI/dividend/</v>
      </c>
      <c r="F64" s="20">
        <f>IFERROR(__xludf.DUMMYFUNCTION("IFERROR(G64/GOOGLEFINANCE(A64,""price""),""0.00%"")"),0.14041221935958778)</f>
        <v>0.1404122194</v>
      </c>
      <c r="G64" s="35">
        <v>7.63</v>
      </c>
      <c r="H64" s="20">
        <v>0.0406</v>
      </c>
      <c r="I64" s="20">
        <v>4.9809</v>
      </c>
      <c r="J64" s="40"/>
      <c r="K64" s="23">
        <v>0.0068</v>
      </c>
      <c r="L64" s="24"/>
      <c r="M64" s="24"/>
    </row>
    <row r="65">
      <c r="A65" s="11" t="s">
        <v>146</v>
      </c>
      <c r="B65" s="11" t="s">
        <v>47</v>
      </c>
      <c r="C65" s="11" t="s">
        <v>100</v>
      </c>
      <c r="D65" s="11" t="s">
        <v>30</v>
      </c>
      <c r="E65" s="18" t="str">
        <f t="shared" si="1"/>
        <v>https://stockanalysis.com/stocks/BBAI/dividend/</v>
      </c>
      <c r="F65" s="20">
        <f>IFERROR(__xludf.DUMMYFUNCTION("IFERROR(G65/GOOGLEFINANCE(A65,""price""),""0.00%"")"),0.0)</f>
        <v>0</v>
      </c>
      <c r="G65" s="35">
        <v>0.0</v>
      </c>
      <c r="H65" s="20">
        <v>0.0</v>
      </c>
      <c r="I65" s="20">
        <v>0.0</v>
      </c>
      <c r="J65" s="40"/>
      <c r="K65" s="23">
        <v>0.0</v>
      </c>
      <c r="L65" s="24"/>
      <c r="M65" s="24"/>
    </row>
    <row r="66">
      <c r="A66" s="11" t="s">
        <v>147</v>
      </c>
      <c r="B66" s="11" t="s">
        <v>104</v>
      </c>
      <c r="C66" s="11" t="s">
        <v>105</v>
      </c>
      <c r="D66" s="11" t="s">
        <v>30</v>
      </c>
      <c r="E66" s="18" t="str">
        <f t="shared" si="1"/>
        <v>https://stockanalysis.com/stocks/ONDS/dividend/</v>
      </c>
      <c r="F66" s="20">
        <f>IFERROR(__xludf.DUMMYFUNCTION("IFERROR(G66/GOOGLEFINANCE(A66,""price""),""0.00%"")"),0.0)</f>
        <v>0</v>
      </c>
      <c r="G66" s="35">
        <v>0.0</v>
      </c>
      <c r="H66" s="20">
        <v>0.0</v>
      </c>
      <c r="I66" s="20">
        <v>0.0</v>
      </c>
      <c r="J66" s="40"/>
      <c r="K66" s="23">
        <v>0.0</v>
      </c>
      <c r="L66" s="24"/>
      <c r="M66" s="24"/>
    </row>
    <row r="67">
      <c r="A67" s="11" t="s">
        <v>148</v>
      </c>
      <c r="B67" s="11" t="s">
        <v>56</v>
      </c>
      <c r="C67" s="11" t="s">
        <v>59</v>
      </c>
      <c r="D67" s="11" t="s">
        <v>30</v>
      </c>
      <c r="E67" s="18" t="str">
        <f t="shared" si="1"/>
        <v>https://stockanalysis.com/stocks/DLR/dividend/</v>
      </c>
      <c r="F67" s="20">
        <f>IFERROR(__xludf.DUMMYFUNCTION("IFERROR(G67/GOOGLEFINANCE(A67,""price""),""0.00%"")"),0.02735272686508604)</f>
        <v>0.02735272687</v>
      </c>
      <c r="G67" s="35">
        <v>4.88</v>
      </c>
      <c r="H67" s="20">
        <v>0.0</v>
      </c>
      <c r="I67" s="20">
        <v>1.3012</v>
      </c>
      <c r="J67" s="40"/>
      <c r="K67" s="23">
        <v>0.0</v>
      </c>
      <c r="L67" s="38">
        <v>8.05</v>
      </c>
      <c r="M67" s="23">
        <f>4.88/L67</f>
        <v>0.6062111801</v>
      </c>
    </row>
    <row r="68">
      <c r="A68" s="11" t="s">
        <v>39</v>
      </c>
      <c r="B68" s="11" t="s">
        <v>38</v>
      </c>
      <c r="C68" s="11" t="s">
        <v>38</v>
      </c>
      <c r="D68" s="11" t="s">
        <v>48</v>
      </c>
      <c r="E68" s="18" t="str">
        <f t="shared" si="1"/>
        <v>https://stockanalysis.com/etf/SPYM/dividend/</v>
      </c>
      <c r="F68" s="20">
        <f>IFERROR(__xludf.DUMMYFUNCTION("IFERROR(G68/GOOGLEFINANCE(A68,""price""),""0.00%"")"),0.010344435603046494)</f>
        <v>0.0103444356</v>
      </c>
      <c r="G68" s="35">
        <v>0.91</v>
      </c>
      <c r="H68" s="20">
        <v>0.0275</v>
      </c>
      <c r="I68" s="20">
        <v>0.2764</v>
      </c>
      <c r="J68" s="40"/>
      <c r="K68" s="23">
        <v>2.0E-4</v>
      </c>
      <c r="L68" s="24"/>
      <c r="M68" s="24"/>
    </row>
    <row r="69">
      <c r="A69" s="33" t="s">
        <v>149</v>
      </c>
      <c r="B69" s="33" t="s">
        <v>150</v>
      </c>
      <c r="C69" s="11" t="s">
        <v>59</v>
      </c>
      <c r="D69" s="11" t="s">
        <v>30</v>
      </c>
      <c r="E69" s="18" t="str">
        <f t="shared" si="1"/>
        <v>https://stockanalysis.com/stocks/AMT/dividend/</v>
      </c>
      <c r="F69" s="20">
        <f>IFERROR(__xludf.DUMMYFUNCTION("IFERROR(G69/GOOGLEFINANCE(A69,""price""),""0.00%"")"),0.04311694568228351)</f>
        <v>0.04311694568</v>
      </c>
      <c r="G69" s="35">
        <v>7.16</v>
      </c>
      <c r="H69" s="20">
        <v>0.0512</v>
      </c>
      <c r="I69" s="20">
        <v>1.1261</v>
      </c>
      <c r="J69" s="40"/>
      <c r="K69" s="23">
        <v>0.0</v>
      </c>
      <c r="L69" s="38">
        <v>11.03</v>
      </c>
      <c r="M69" s="23">
        <f>7.16/L69</f>
        <v>0.6491387126</v>
      </c>
    </row>
    <row r="70">
      <c r="A70" s="11" t="s">
        <v>124</v>
      </c>
      <c r="B70" s="11" t="s">
        <v>38</v>
      </c>
      <c r="C70" s="11" t="s">
        <v>38</v>
      </c>
      <c r="D70" s="11" t="s">
        <v>48</v>
      </c>
      <c r="E70" s="18" t="str">
        <f t="shared" si="1"/>
        <v>https://stockanalysis.com/etf/GARP/dividend/</v>
      </c>
      <c r="F70" s="20">
        <f>IFERROR(__xludf.DUMMYFUNCTION("IFERROR(G70/GOOGLEFINANCE(A70,""price""),""0.00%"")"),0.017929910350448247)</f>
        <v>0.01792991035</v>
      </c>
      <c r="G70" s="35">
        <v>0.22</v>
      </c>
      <c r="H70" s="20">
        <v>0.0</v>
      </c>
      <c r="I70" s="20">
        <v>0.0921</v>
      </c>
      <c r="J70" s="40"/>
      <c r="K70" s="23">
        <v>0.0015</v>
      </c>
      <c r="L70" s="24"/>
      <c r="M70" s="24"/>
    </row>
    <row r="71">
      <c r="A71" s="11" t="s">
        <v>151</v>
      </c>
      <c r="B71" s="11" t="s">
        <v>135</v>
      </c>
      <c r="C71" s="11" t="s">
        <v>135</v>
      </c>
      <c r="D71" s="11" t="s">
        <v>48</v>
      </c>
      <c r="E71" s="18" t="str">
        <f t="shared" si="1"/>
        <v>https://stockanalysis.com/etf/AVUV/dividend/</v>
      </c>
      <c r="F71" s="20">
        <f>IFERROR(__xludf.DUMMYFUNCTION("IFERROR(G71/GOOGLEFINANCE(A71,""price""),""0.00%"")"),0.01238881829733164)</f>
        <v>0.0123888183</v>
      </c>
      <c r="G71" s="35">
        <v>1.56</v>
      </c>
      <c r="H71" s="20">
        <v>-0.0214</v>
      </c>
      <c r="I71" s="20">
        <v>0.1622</v>
      </c>
      <c r="J71" s="40"/>
      <c r="K71" s="23">
        <v>0.0025</v>
      </c>
      <c r="L71" s="40"/>
      <c r="M71" s="40"/>
    </row>
    <row r="72">
      <c r="A72" s="26" t="s">
        <v>117</v>
      </c>
      <c r="B72" s="11" t="s">
        <v>90</v>
      </c>
      <c r="C72" s="26" t="s">
        <v>152</v>
      </c>
      <c r="D72" s="26" t="s">
        <v>48</v>
      </c>
      <c r="E72" s="18" t="str">
        <f t="shared" si="1"/>
        <v>https://stockanalysis.com/etf/VXUS/dividend/</v>
      </c>
      <c r="F72" s="20">
        <f>IFERROR(__xludf.DUMMYFUNCTION("IFERROR(G72/GOOGLEFINANCE(A72,""price""),""0.00%"")"),0.025929434051622072)</f>
        <v>0.02592943405</v>
      </c>
      <c r="G72" s="54">
        <v>2.19</v>
      </c>
      <c r="H72" s="49">
        <v>0.1204</v>
      </c>
      <c r="I72" s="56">
        <v>0.4107</v>
      </c>
      <c r="J72" s="40"/>
      <c r="K72" s="57">
        <v>5.0E-4</v>
      </c>
      <c r="L72" s="40"/>
      <c r="M72" s="4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40"/>
      <c r="K73" s="40"/>
      <c r="L73" s="40"/>
      <c r="M73" s="40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40"/>
      <c r="K74" s="40"/>
      <c r="L74" s="40"/>
      <c r="M74" s="4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40"/>
      <c r="K75" s="40"/>
      <c r="L75" s="40"/>
      <c r="M75" s="40"/>
    </row>
  </sheetData>
  <drawing r:id="rId1"/>
</worksheet>
</file>